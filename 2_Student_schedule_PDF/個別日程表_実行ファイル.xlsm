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u/Desktop/scheduling_app/2_Student_schedule_PDF/"/>
    </mc:Choice>
  </mc:AlternateContent>
  <xr:revisionPtr revIDLastSave="0" documentId="13_ncr:1_{F99B0F24-033E-324A-921D-ED9955E6C689}" xr6:coauthVersionLast="47" xr6:coauthVersionMax="47" xr10:uidLastSave="{00000000-0000-0000-0000-000000000000}"/>
  <bookViews>
    <workbookView xWindow="0" yWindow="740" windowWidth="29400" windowHeight="17460" activeTab="2" xr2:uid="{7B8113FD-2252-464D-BF2C-96FA983997E2}"/>
  </bookViews>
  <sheets>
    <sheet name="実行ボタン" sheetId="5" r:id="rId1"/>
    <sheet name="生徒データ" sheetId="4" r:id="rId2"/>
    <sheet name="個別日程表" sheetId="3" r:id="rId3"/>
    <sheet name="生徒_受講コマ数_初回" sheetId="6" r:id="rId4"/>
  </sheets>
  <definedNames>
    <definedName name="_xlnm.Print_Area" localSheetId="2">個別日程表!$A$1:$AG$34</definedName>
    <definedName name="_xlnm.Print_Area" localSheetId="0">実行ボタン!$A$1:$F$16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2" i="3" l="1"/>
  <c r="AB32" i="3"/>
  <c r="AA32" i="3"/>
  <c r="Z32" i="3"/>
  <c r="Y32" i="3"/>
  <c r="Y30" i="3"/>
  <c r="AC30" i="3"/>
  <c r="AB30" i="3"/>
  <c r="AA30" i="3"/>
  <c r="Z30" i="3"/>
  <c r="Z31" i="3"/>
  <c r="AC31" i="3"/>
  <c r="AB31" i="3"/>
  <c r="AA31" i="3"/>
  <c r="Y31" i="3"/>
  <c r="F4" i="3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C2" i="3"/>
  <c r="F13" i="3"/>
  <c r="C26" i="3"/>
  <c r="C24" i="3"/>
  <c r="C22" i="3"/>
  <c r="C20" i="3"/>
  <c r="C18" i="3"/>
  <c r="C14" i="3"/>
  <c r="C12" i="3"/>
  <c r="C10" i="3"/>
  <c r="C8" i="3"/>
  <c r="C6" i="3"/>
  <c r="AC33" i="3" l="1"/>
  <c r="AB33" i="3"/>
  <c r="AA33" i="3"/>
  <c r="Z33" i="3"/>
  <c r="Y33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E9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E13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E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16" i="3" l="1"/>
  <c r="F16" i="3" s="1"/>
  <c r="G16" i="3" s="1"/>
  <c r="H16" i="3" s="1"/>
  <c r="I16" i="3" s="1"/>
  <c r="J16" i="3" s="1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</calcChain>
</file>

<file path=xl/sharedStrings.xml><?xml version="1.0" encoding="utf-8"?>
<sst xmlns="http://schemas.openxmlformats.org/spreadsheetml/2006/main" count="287" uniqueCount="93">
  <si>
    <t>配布</t>
    <rPh sb="0" eb="2">
      <t>ハイフ</t>
    </rPh>
    <phoneticPr fontId="6"/>
  </si>
  <si>
    <t>生徒氏名</t>
    <rPh sb="0" eb="2">
      <t>セイト</t>
    </rPh>
    <rPh sb="2" eb="4">
      <t>シメイ</t>
    </rPh>
    <phoneticPr fontId="6"/>
  </si>
  <si>
    <t>コマ</t>
    <phoneticPr fontId="6"/>
  </si>
  <si>
    <t>日付</t>
    <rPh sb="0" eb="2">
      <t>ヒヅケ</t>
    </rPh>
    <phoneticPr fontId="6"/>
  </si>
  <si>
    <t>曜日</t>
    <rPh sb="0" eb="2">
      <t>ヨウビ</t>
    </rPh>
    <phoneticPr fontId="6"/>
  </si>
  <si>
    <t>月</t>
  </si>
  <si>
    <t>火</t>
  </si>
  <si>
    <t>水</t>
  </si>
  <si>
    <t>木</t>
  </si>
  <si>
    <t>金</t>
  </si>
  <si>
    <t>土</t>
  </si>
  <si>
    <t>日</t>
  </si>
  <si>
    <t>A</t>
    <phoneticPr fontId="6"/>
  </si>
  <si>
    <t>科目</t>
    <rPh sb="0" eb="2">
      <t>カモク</t>
    </rPh>
    <phoneticPr fontId="6"/>
  </si>
  <si>
    <t>B</t>
    <phoneticPr fontId="6"/>
  </si>
  <si>
    <t>C</t>
    <phoneticPr fontId="6"/>
  </si>
  <si>
    <t>D</t>
    <phoneticPr fontId="6"/>
  </si>
  <si>
    <t>E</t>
    <phoneticPr fontId="6"/>
  </si>
  <si>
    <t>※期間内の通常授業分も記載してあります。</t>
    <rPh sb="1" eb="4">
      <t>キカンナイ</t>
    </rPh>
    <rPh sb="5" eb="7">
      <t>ツウジョウ</t>
    </rPh>
    <rPh sb="7" eb="9">
      <t>ジュギョウ</t>
    </rPh>
    <rPh sb="9" eb="10">
      <t>ブン</t>
    </rPh>
    <rPh sb="11" eb="13">
      <t>キサイ</t>
    </rPh>
    <phoneticPr fontId="10"/>
  </si>
  <si>
    <t>※予定の変更などありましたら、教室までご連絡下さい。</t>
    <phoneticPr fontId="10"/>
  </si>
  <si>
    <t>※自習は15：00より21：30まで可能です。</t>
    <rPh sb="1" eb="3">
      <t>ジシュウ</t>
    </rPh>
    <rPh sb="18" eb="20">
      <t>カノウ</t>
    </rPh>
    <phoneticPr fontId="10"/>
  </si>
  <si>
    <t>※講習会が始まってからの追加申し込みも受け付けております。</t>
    <rPh sb="1" eb="4">
      <t>コウシュウカイ</t>
    </rPh>
    <rPh sb="5" eb="6">
      <t>ハジ</t>
    </rPh>
    <rPh sb="12" eb="14">
      <t>ツイカ</t>
    </rPh>
    <rPh sb="14" eb="15">
      <t>モウ</t>
    </rPh>
    <rPh sb="16" eb="17">
      <t>コ</t>
    </rPh>
    <rPh sb="19" eb="20">
      <t>ウ</t>
    </rPh>
    <rPh sb="21" eb="22">
      <t>ツ</t>
    </rPh>
    <phoneticPr fontId="10"/>
  </si>
  <si>
    <t>※ご不明な点は教室まで問合せ願います。</t>
    <rPh sb="2" eb="4">
      <t>フメイ</t>
    </rPh>
    <rPh sb="5" eb="6">
      <t>テン</t>
    </rPh>
    <rPh sb="7" eb="9">
      <t>キョウシツ</t>
    </rPh>
    <rPh sb="11" eb="13">
      <t>トイアワ</t>
    </rPh>
    <rPh sb="14" eb="15">
      <t>ネガ</t>
    </rPh>
    <phoneticPr fontId="10"/>
  </si>
  <si>
    <t>日付</t>
  </si>
  <si>
    <t>限数</t>
  </si>
  <si>
    <t>科目</t>
  </si>
  <si>
    <t>先生</t>
  </si>
  <si>
    <t>数学</t>
  </si>
  <si>
    <t>年度</t>
    <rPh sb="0" eb="2">
      <t>ネンド</t>
    </rPh>
    <phoneticPr fontId="3"/>
  </si>
  <si>
    <t>月日程表</t>
    <rPh sb="0" eb="1">
      <t>ガテゥ</t>
    </rPh>
    <rPh sb="1" eb="4">
      <t>ニッテイ</t>
    </rPh>
    <phoneticPr fontId="3"/>
  </si>
  <si>
    <t>月</t>
    <rPh sb="0" eb="1">
      <t>ガテゥ</t>
    </rPh>
    <phoneticPr fontId="6"/>
  </si>
  <si>
    <t>日</t>
    <rPh sb="0" eb="1">
      <t>ニチ</t>
    </rPh>
    <phoneticPr fontId="3"/>
  </si>
  <si>
    <t>時間割</t>
    <rPh sb="0" eb="2">
      <t>ジカンタイ</t>
    </rPh>
    <rPh sb="2" eb="3">
      <t xml:space="preserve">ワリ </t>
    </rPh>
    <phoneticPr fontId="6"/>
  </si>
  <si>
    <t>生徒名</t>
  </si>
  <si>
    <t>英語</t>
  </si>
  <si>
    <t>相葉</t>
  </si>
  <si>
    <t>理科</t>
  </si>
  <si>
    <t>国語</t>
    <rPh sb="0" eb="2">
      <t>コクゴ</t>
    </rPh>
    <phoneticPr fontId="3"/>
  </si>
  <si>
    <t>数学</t>
    <rPh sb="0" eb="2">
      <t>スウガク</t>
    </rPh>
    <phoneticPr fontId="3"/>
  </si>
  <si>
    <t>英語</t>
    <rPh sb="0" eb="2">
      <t>エイゴ</t>
    </rPh>
    <phoneticPr fontId="3"/>
  </si>
  <si>
    <t>理科</t>
    <rPh sb="0" eb="2">
      <t xml:space="preserve">リカ </t>
    </rPh>
    <phoneticPr fontId="3"/>
  </si>
  <si>
    <t>社会</t>
    <rPh sb="0" eb="2">
      <t>シャカイ</t>
    </rPh>
    <phoneticPr fontId="3"/>
  </si>
  <si>
    <t>国語のコマ数</t>
  </si>
  <si>
    <t>数学のコマ数</t>
  </si>
  <si>
    <t>英語のコマ数</t>
  </si>
  <si>
    <t>理科のコマ数</t>
  </si>
  <si>
    <t>社会のコマ数</t>
  </si>
  <si>
    <t>松本</t>
  </si>
  <si>
    <t>社会</t>
  </si>
  <si>
    <t>大野</t>
  </si>
  <si>
    <t>国語</t>
  </si>
  <si>
    <t>与田祐希</t>
  </si>
  <si>
    <t>井上小百合</t>
  </si>
  <si>
    <t>衛藤美彩</t>
  </si>
  <si>
    <t>高山一実</t>
  </si>
  <si>
    <t>高瀬愛奈</t>
  </si>
  <si>
    <t>若月佑美</t>
  </si>
  <si>
    <t>秋元真夏</t>
  </si>
  <si>
    <t>松井玲奈</t>
  </si>
  <si>
    <t>松村沙友理</t>
  </si>
  <si>
    <t>深川麻衣</t>
  </si>
  <si>
    <t>生田絵梨花</t>
  </si>
  <si>
    <t>西野七瀬</t>
  </si>
  <si>
    <t>斉藤優里</t>
  </si>
  <si>
    <t>中田花奈</t>
  </si>
  <si>
    <t>白石麻衣</t>
  </si>
  <si>
    <t>樋口日奈</t>
  </si>
  <si>
    <t>齋藤飛鳥</t>
  </si>
  <si>
    <t>伊藤かりん</t>
  </si>
  <si>
    <t>伊藤純奈</t>
  </si>
  <si>
    <t>佐々木琴子</t>
  </si>
  <si>
    <t>寺田蘭世</t>
  </si>
  <si>
    <t>新内眞衣</t>
  </si>
  <si>
    <t>北野日奈子</t>
  </si>
  <si>
    <t>堀未央奈</t>
  </si>
  <si>
    <t>伊藤理々杏</t>
  </si>
  <si>
    <t>遠藤さくら</t>
  </si>
  <si>
    <t>久保史緒里</t>
  </si>
  <si>
    <t>高山澪</t>
  </si>
  <si>
    <t>佐藤楓</t>
  </si>
  <si>
    <t>北川悠理</t>
  </si>
  <si>
    <t>残りの授業数</t>
    <rPh sb="0" eb="1">
      <t>ノコリ</t>
    </rPh>
    <rPh sb="3" eb="6">
      <t>ジュギョウ</t>
    </rPh>
    <phoneticPr fontId="3"/>
  </si>
  <si>
    <t>受講予定数</t>
    <rPh sb="0" eb="4">
      <t>ジュコウ</t>
    </rPh>
    <rPh sb="4" eb="5">
      <t>カモク</t>
    </rPh>
    <phoneticPr fontId="3"/>
  </si>
  <si>
    <t>組み込み済み数</t>
    <rPh sb="0" eb="1">
      <t>クミコミ</t>
    </rPh>
    <rPh sb="6" eb="7">
      <t>カモクスウ</t>
    </rPh>
    <phoneticPr fontId="3"/>
  </si>
  <si>
    <t>振替の数</t>
    <rPh sb="0" eb="2">
      <t>フリカエノカズ</t>
    </rPh>
    <phoneticPr fontId="3"/>
  </si>
  <si>
    <t>生徒の優先順位</t>
  </si>
  <si>
    <t>学年</t>
  </si>
  <si>
    <t>生徒の名前</t>
  </si>
  <si>
    <t>国語振替</t>
    <rPh sb="0" eb="4">
      <t>コクゴ</t>
    </rPh>
    <phoneticPr fontId="3"/>
  </si>
  <si>
    <t>数学振替</t>
    <rPh sb="0" eb="4">
      <t>スウガク</t>
    </rPh>
    <phoneticPr fontId="3"/>
  </si>
  <si>
    <t>英語振替</t>
    <rPh sb="0" eb="4">
      <t>エイゴ</t>
    </rPh>
    <phoneticPr fontId="3"/>
  </si>
  <si>
    <t>理科振替</t>
    <rPh sb="0" eb="4">
      <t>リカフリ</t>
    </rPh>
    <phoneticPr fontId="3"/>
  </si>
  <si>
    <t>社会振替</t>
    <rPh sb="0" eb="4">
      <t>シャカイ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</si>
</sst>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m/d;@"/>
  </numFmts>
  <fonts count="27">
    <font>
      <sz val="12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PｺﾞｼｯｸM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HGPｺﾞｼｯｸM"/>
      <family val="3"/>
      <charset val="128"/>
    </font>
    <font>
      <b/>
      <sz val="16"/>
      <name val="HGPｺﾞｼｯｸM"/>
      <family val="3"/>
      <charset val="128"/>
    </font>
    <font>
      <sz val="6"/>
      <name val="ＭＳ Ｐゴシック"/>
      <family val="3"/>
      <charset val="128"/>
    </font>
    <font>
      <b/>
      <sz val="14"/>
      <name val="HGPｺﾞｼｯｸM"/>
      <family val="3"/>
      <charset val="128"/>
    </font>
    <font>
      <sz val="14"/>
      <name val="HGPｺﾞｼｯｸM"/>
      <family val="3"/>
      <charset val="128"/>
    </font>
    <font>
      <sz val="12"/>
      <name val="HGPｺﾞｼｯｸM"/>
      <family val="3"/>
      <charset val="128"/>
    </font>
    <font>
      <b/>
      <sz val="11"/>
      <name val="ＭＳ Ｐゴシック"/>
      <family val="3"/>
      <charset val="128"/>
    </font>
    <font>
      <sz val="18"/>
      <name val="HGPｺﾞｼｯｸM"/>
      <family val="3"/>
      <charset val="128"/>
    </font>
    <font>
      <sz val="14"/>
      <name val="HG正楷書体-PRO"/>
      <family val="4"/>
      <charset val="128"/>
    </font>
    <font>
      <sz val="11"/>
      <color theme="1"/>
      <name val="游ゴシック"/>
      <family val="2"/>
      <scheme val="minor"/>
    </font>
    <font>
      <sz val="11"/>
      <color theme="0"/>
      <name val="HG丸ｺﾞｼｯｸM-PRO"/>
      <family val="2"/>
      <charset val="128"/>
    </font>
    <font>
      <sz val="28"/>
      <color theme="0"/>
      <name val="HG丸ｺﾞｼｯｸM-PRO"/>
      <family val="2"/>
      <charset val="128"/>
    </font>
    <font>
      <b/>
      <sz val="20"/>
      <name val="HGPｺﾞｼｯｸM"/>
      <family val="3"/>
      <charset val="128"/>
    </font>
    <font>
      <b/>
      <sz val="20"/>
      <name val="HGPｺﾞｼｯｸM"/>
    </font>
    <font>
      <sz val="12"/>
      <name val="HG丸ｺﾞｼｯｸM-PRO"/>
      <family val="2"/>
      <charset val="128"/>
    </font>
    <font>
      <b/>
      <sz val="10"/>
      <name val="HGPｺﾞｼｯｸM"/>
      <family val="3"/>
      <charset val="128"/>
    </font>
    <font>
      <sz val="14"/>
      <name val="HG丸ｺﾞｼｯｸM-PRO"/>
      <family val="2"/>
      <charset val="128"/>
    </font>
    <font>
      <sz val="12"/>
      <color theme="1"/>
      <name val="游ゴシック"/>
      <family val="2"/>
      <charset val="128"/>
      <scheme val="minor"/>
    </font>
    <font>
      <sz val="18"/>
      <color theme="0"/>
      <name val="HG丸ｺﾞｼｯｸM-PRO"/>
      <family val="2"/>
      <charset val="128"/>
    </font>
    <font>
      <sz val="12"/>
      <name val="MS 明朝"/>
      <family val="1"/>
      <charset val="128"/>
    </font>
    <font>
      <b/>
      <sz val="11"/>
      <name val="ＭＳ Ｐゴシック"/>
      <family val="2"/>
      <charset val="128"/>
    </font>
    <font>
      <b/>
      <sz val="11"/>
      <color theme="1"/>
      <name val="游ゴシック"/>
      <family val="2"/>
      <scheme val="minor"/>
    </font>
    <font>
      <sz val="18"/>
      <name val="HGPｺﾞｼｯｸM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tted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13" fillId="0" borderId="0"/>
  </cellStyleXfs>
  <cellXfs count="93">
    <xf numFmtId="0" fontId="0" fillId="0" borderId="0" xfId="0">
      <alignment vertical="center"/>
    </xf>
    <xf numFmtId="0" fontId="2" fillId="0" borderId="0" xfId="1" applyFont="1"/>
    <xf numFmtId="0" fontId="4" fillId="0" borderId="0" xfId="1" applyFont="1" applyAlignment="1">
      <alignment vertical="center"/>
    </xf>
    <xf numFmtId="14" fontId="5" fillId="0" borderId="0" xfId="1" applyNumberFormat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4" fillId="0" borderId="0" xfId="1" applyFont="1" applyAlignment="1">
      <alignment horizontal="center" vertical="center"/>
    </xf>
    <xf numFmtId="20" fontId="4" fillId="0" borderId="0" xfId="1" quotePrefix="1" applyNumberFormat="1" applyFont="1" applyAlignment="1">
      <alignment horizontal="center" vertical="center"/>
    </xf>
    <xf numFmtId="0" fontId="4" fillId="0" borderId="0" xfId="1" applyFont="1"/>
    <xf numFmtId="0" fontId="8" fillId="0" borderId="0" xfId="1" applyFont="1" applyAlignment="1">
      <alignment horizontal="center" vertical="center"/>
    </xf>
    <xf numFmtId="0" fontId="9" fillId="0" borderId="0" xfId="1" applyFont="1"/>
    <xf numFmtId="0" fontId="2" fillId="0" borderId="0" xfId="1" applyFont="1" applyAlignment="1">
      <alignment horizontal="left" shrinkToFit="1"/>
    </xf>
    <xf numFmtId="0" fontId="9" fillId="0" borderId="0" xfId="1" applyFont="1" applyAlignment="1">
      <alignment vertical="center" shrinkToFit="1"/>
    </xf>
    <xf numFmtId="0" fontId="10" fillId="0" borderId="0" xfId="1" applyFont="1" applyAlignment="1">
      <alignment horizontal="center" vertical="center"/>
    </xf>
    <xf numFmtId="20" fontId="10" fillId="0" borderId="0" xfId="1" quotePrefix="1" applyNumberFormat="1" applyFont="1" applyAlignment="1">
      <alignment horizontal="center" vertical="center"/>
    </xf>
    <xf numFmtId="0" fontId="10" fillId="0" borderId="0" xfId="1" applyFont="1"/>
    <xf numFmtId="0" fontId="12" fillId="0" borderId="0" xfId="1" applyFont="1" applyAlignment="1">
      <alignment horizontal="center" vertical="center"/>
    </xf>
    <xf numFmtId="0" fontId="11" fillId="0" borderId="0" xfId="1" applyFont="1" applyAlignment="1">
      <alignment horizontal="right"/>
    </xf>
    <xf numFmtId="0" fontId="14" fillId="3" borderId="2" xfId="1" applyFont="1" applyFill="1" applyBorder="1" applyAlignment="1">
      <alignment vertical="center"/>
    </xf>
    <xf numFmtId="0" fontId="15" fillId="3" borderId="2" xfId="1" applyFont="1" applyFill="1" applyBorder="1" applyAlignment="1">
      <alignment vertical="center"/>
    </xf>
    <xf numFmtId="0" fontId="14" fillId="3" borderId="3" xfId="1" applyFont="1" applyFill="1" applyBorder="1" applyAlignment="1">
      <alignment vertical="center"/>
    </xf>
    <xf numFmtId="0" fontId="16" fillId="0" borderId="0" xfId="1" applyFont="1" applyAlignment="1">
      <alignment vertical="center"/>
    </xf>
    <xf numFmtId="0" fontId="17" fillId="0" borderId="0" xfId="1" applyFont="1" applyAlignment="1">
      <alignment vertical="center"/>
    </xf>
    <xf numFmtId="0" fontId="0" fillId="0" borderId="0" xfId="0" applyAlignment="1"/>
    <xf numFmtId="0" fontId="4" fillId="0" borderId="8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2" borderId="12" xfId="1" applyFont="1" applyFill="1" applyBorder="1" applyAlignment="1">
      <alignment horizontal="center" vertical="center"/>
    </xf>
    <xf numFmtId="0" fontId="2" fillId="2" borderId="13" xfId="1" applyFont="1" applyFill="1" applyBorder="1" applyAlignment="1">
      <alignment horizontal="center" vertical="center"/>
    </xf>
    <xf numFmtId="0" fontId="18" fillId="0" borderId="0" xfId="1" applyFont="1" applyAlignment="1">
      <alignment horizontal="center" vertical="center" shrinkToFit="1"/>
    </xf>
    <xf numFmtId="0" fontId="1" fillId="0" borderId="0" xfId="1"/>
    <xf numFmtId="0" fontId="21" fillId="0" borderId="0" xfId="0" applyFont="1" applyAlignment="1"/>
    <xf numFmtId="0" fontId="21" fillId="0" borderId="4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17" fillId="0" borderId="0" xfId="1" applyFont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3" fillId="0" borderId="6" xfId="1" applyFont="1" applyBorder="1" applyAlignment="1">
      <alignment horizontal="right"/>
    </xf>
    <xf numFmtId="0" fontId="11" fillId="0" borderId="6" xfId="1" applyFont="1" applyBorder="1" applyAlignment="1">
      <alignment horizontal="right"/>
    </xf>
    <xf numFmtId="0" fontId="24" fillId="0" borderId="6" xfId="0" applyFont="1" applyBorder="1" applyAlignment="1">
      <alignment horizontal="center" vertical="top"/>
    </xf>
    <xf numFmtId="177" fontId="2" fillId="0" borderId="8" xfId="1" applyNumberFormat="1" applyFont="1" applyBorder="1" applyAlignment="1">
      <alignment horizontal="center" vertical="center" shrinkToFit="1"/>
    </xf>
    <xf numFmtId="177" fontId="2" fillId="2" borderId="8" xfId="1" applyNumberFormat="1" applyFont="1" applyFill="1" applyBorder="1" applyAlignment="1">
      <alignment horizontal="center" vertical="center" shrinkToFit="1"/>
    </xf>
    <xf numFmtId="177" fontId="2" fillId="0" borderId="9" xfId="1" applyNumberFormat="1" applyFont="1" applyBorder="1" applyAlignment="1">
      <alignment horizontal="center" vertical="center" shrinkToFit="1"/>
    </xf>
    <xf numFmtId="0" fontId="23" fillId="0" borderId="6" xfId="1" applyFont="1" applyBorder="1" applyAlignment="1">
      <alignment horizontal="center"/>
    </xf>
    <xf numFmtId="0" fontId="4" fillId="0" borderId="5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176" fontId="19" fillId="0" borderId="4" xfId="1" quotePrefix="1" applyNumberFormat="1" applyFont="1" applyBorder="1" applyAlignment="1">
      <alignment horizontal="center" vertical="center" wrapText="1"/>
    </xf>
    <xf numFmtId="176" fontId="19" fillId="0" borderId="6" xfId="1" quotePrefix="1" applyNumberFormat="1" applyFont="1" applyBorder="1" applyAlignment="1">
      <alignment horizontal="center" vertical="center" wrapText="1"/>
    </xf>
    <xf numFmtId="176" fontId="19" fillId="0" borderId="12" xfId="1" quotePrefix="1" applyNumberFormat="1" applyFont="1" applyBorder="1" applyAlignment="1">
      <alignment horizontal="center" vertical="center" wrapText="1"/>
    </xf>
    <xf numFmtId="0" fontId="4" fillId="0" borderId="11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 wrapText="1"/>
    </xf>
    <xf numFmtId="0" fontId="4" fillId="0" borderId="12" xfId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/>
    </xf>
    <xf numFmtId="0" fontId="15" fillId="3" borderId="2" xfId="1" applyFont="1" applyFill="1" applyBorder="1" applyAlignment="1">
      <alignment horizontal="center" vertical="center"/>
    </xf>
    <xf numFmtId="0" fontId="4" fillId="0" borderId="7" xfId="1" applyFont="1" applyBorder="1" applyAlignment="1">
      <alignment horizontal="center" vertical="center" textRotation="255"/>
    </xf>
    <xf numFmtId="0" fontId="4" fillId="0" borderId="11" xfId="1" applyFont="1" applyBorder="1" applyAlignment="1">
      <alignment horizontal="center" vertical="center" textRotation="255"/>
    </xf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22" fillId="3" borderId="1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0" fontId="23" fillId="0" borderId="0" xfId="1" applyFont="1" applyBorder="1" applyAlignment="1">
      <alignment horizontal="right"/>
    </xf>
    <xf numFmtId="0" fontId="20" fillId="0" borderId="0" xfId="1" applyFont="1" applyBorder="1" applyAlignment="1">
      <alignment vertical="center"/>
    </xf>
    <xf numFmtId="0" fontId="11" fillId="0" borderId="0" xfId="1" applyFont="1" applyBorder="1" applyAlignment="1">
      <alignment horizontal="right"/>
    </xf>
    <xf numFmtId="0" fontId="20" fillId="0" borderId="22" xfId="1" applyFont="1" applyBorder="1" applyAlignment="1">
      <alignment vertical="center"/>
    </xf>
    <xf numFmtId="0" fontId="25" fillId="0" borderId="6" xfId="2" applyFont="1" applyBorder="1" applyAlignment="1">
      <alignment horizontal="center" vertical="top"/>
    </xf>
    <xf numFmtId="0" fontId="25" fillId="0" borderId="6" xfId="2" applyFont="1" applyBorder="1" applyAlignment="1">
      <alignment horizontal="left" vertical="top"/>
    </xf>
    <xf numFmtId="0" fontId="13" fillId="0" borderId="0" xfId="2"/>
    <xf numFmtId="0" fontId="26" fillId="0" borderId="6" xfId="1" applyFont="1" applyBorder="1"/>
    <xf numFmtId="0" fontId="25" fillId="0" borderId="21" xfId="2" applyFont="1" applyBorder="1" applyAlignment="1">
      <alignment horizontal="left" vertical="top"/>
    </xf>
    <xf numFmtId="0" fontId="25" fillId="0" borderId="0" xfId="2" applyFont="1" applyBorder="1" applyAlignment="1">
      <alignment horizontal="left" vertical="top"/>
    </xf>
    <xf numFmtId="0" fontId="13" fillId="0" borderId="0" xfId="2" applyBorder="1"/>
    <xf numFmtId="0" fontId="25" fillId="0" borderId="22" xfId="2" applyFont="1" applyBorder="1" applyAlignment="1">
      <alignment horizontal="left" vertical="top"/>
    </xf>
    <xf numFmtId="0" fontId="26" fillId="0" borderId="6" xfId="1" applyFont="1" applyBorder="1" applyAlignment="1">
      <alignment vertical="center"/>
    </xf>
    <xf numFmtId="0" fontId="26" fillId="0" borderId="21" xfId="1" applyFont="1" applyBorder="1" applyAlignment="1">
      <alignment vertical="center"/>
    </xf>
  </cellXfs>
  <cellStyles count="3">
    <cellStyle name="標準" xfId="0" builtinId="0"/>
    <cellStyle name="標準 2" xfId="1" xr:uid="{5DD5C7C0-929C-0B4F-8136-CA2426484D62}"/>
    <cellStyle name="標準 3" xfId="2" xr:uid="{37930665-4E17-0D44-A0C6-BEDA5C065E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182034</xdr:colOff>
      <xdr:row>4</xdr:row>
      <xdr:rowOff>194733</xdr:rowOff>
    </xdr:from>
    <xdr:to>
      <xdr:col>4</xdr:col>
      <xdr:colOff>347134</xdr:colOff>
      <xdr:row>10</xdr:row>
      <xdr:rowOff>169333</xdr:rowOff>
    </xdr:to>
    <xdr:sp macro="[0]!make_pdf_all_students" textlink="">
      <xdr:nvSpPr>
        <xdr:cNvPr id="4" name="角丸四角形 3">
          <a:extLst>
            <a:ext uri="{FF2B5EF4-FFF2-40B4-BE49-F238E27FC236}">
              <a16:creationId xmlns:a16="http://schemas.microsoft.com/office/drawing/2014/main" id="{0F7B17E2-B4C0-F9E9-5DD0-3AE899915606}"/>
            </a:ext>
          </a:extLst>
        </xdr:cNvPr>
        <xdr:cNvSpPr/>
      </xdr:nvSpPr>
      <xdr:spPr>
        <a:xfrm>
          <a:off x="1138767" y="1210733"/>
          <a:ext cx="3035300" cy="14986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convex"/>
          <a:bevelB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実行ボタン</a:t>
          </a:r>
          <a:br>
            <a:rPr kumimoji="1" lang="en-US" altLang="ja-JP" sz="2400">
              <a:latin typeface="MS Gothic" panose="020B0609070205080204" pitchFamily="49" charset="-128"/>
              <a:ea typeface="MS Gothic" panose="020B0609070205080204" pitchFamily="49" charset="-128"/>
            </a:rPr>
          </a:br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個別日程表</a:t>
          </a:r>
          <a:r>
            <a:rPr kumimoji="1" lang="en-US" altLang="ja-JP" sz="2400">
              <a:latin typeface="MS Gothic" panose="020B0609070205080204" pitchFamily="49" charset="-128"/>
              <a:ea typeface="MS Gothic" panose="020B0609070205080204" pitchFamily="49" charset="-128"/>
            </a:rPr>
            <a:t>PDF</a:t>
          </a:r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79CE-A942-C74E-A475-0A0835C17229}">
  <sheetPr codeName="Sheet3"/>
  <dimension ref="A1"/>
  <sheetViews>
    <sheetView view="pageBreakPreview" zoomScale="151" zoomScaleNormal="100" workbookViewId="0">
      <selection activeCell="A4" sqref="A4"/>
    </sheetView>
  </sheetViews>
  <sheetFormatPr baseColWidth="10" defaultRowHeight="20"/>
  <sheetData/>
  <phoneticPr fontId="3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CB22-D839-A44D-A547-72AE84737432}">
  <sheetPr codeName="Sheet1"/>
  <dimension ref="A1:J101"/>
  <sheetViews>
    <sheetView zoomScale="75" workbookViewId="0">
      <selection sqref="A1:XFD1048576"/>
    </sheetView>
  </sheetViews>
  <sheetFormatPr baseColWidth="10" defaultColWidth="7.5703125" defaultRowHeight="20"/>
  <cols>
    <col min="1" max="16384" width="7.5703125" style="22"/>
  </cols>
  <sheetData>
    <row r="1" spans="1:10">
      <c r="A1" s="55" t="s">
        <v>23</v>
      </c>
      <c r="B1" s="55" t="s">
        <v>24</v>
      </c>
      <c r="C1" s="55" t="s">
        <v>25</v>
      </c>
      <c r="D1" s="55" t="s">
        <v>26</v>
      </c>
      <c r="E1" s="55" t="s">
        <v>33</v>
      </c>
      <c r="F1" s="55" t="s">
        <v>42</v>
      </c>
      <c r="G1" s="55" t="s">
        <v>43</v>
      </c>
      <c r="H1" s="55" t="s">
        <v>44</v>
      </c>
      <c r="I1" s="55" t="s">
        <v>45</v>
      </c>
      <c r="J1" s="55" t="s">
        <v>46</v>
      </c>
    </row>
    <row r="2" spans="1:10">
      <c r="A2" s="22">
        <v>1</v>
      </c>
      <c r="B2" s="22">
        <v>1</v>
      </c>
      <c r="E2" s="22" t="s">
        <v>51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</row>
    <row r="3" spans="1:10">
      <c r="A3" s="22">
        <v>1</v>
      </c>
      <c r="B3" s="22">
        <v>2</v>
      </c>
      <c r="E3" s="22" t="s">
        <v>51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</row>
    <row r="4" spans="1:10">
      <c r="A4" s="22">
        <v>1</v>
      </c>
      <c r="B4" s="22">
        <v>3</v>
      </c>
      <c r="E4" s="22" t="s">
        <v>51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</row>
    <row r="5" spans="1:10">
      <c r="A5" s="22">
        <v>1</v>
      </c>
      <c r="B5" s="22">
        <v>4</v>
      </c>
      <c r="E5" s="22" t="s">
        <v>51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</row>
    <row r="6" spans="1:10">
      <c r="A6" s="22">
        <v>1</v>
      </c>
      <c r="B6" s="22">
        <v>5</v>
      </c>
      <c r="E6" s="22" t="s">
        <v>51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</row>
    <row r="7" spans="1:10">
      <c r="A7" s="22">
        <v>2</v>
      </c>
      <c r="B7" s="22">
        <v>1</v>
      </c>
      <c r="E7" s="22" t="s">
        <v>51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</row>
    <row r="8" spans="1:10">
      <c r="A8" s="22">
        <v>2</v>
      </c>
      <c r="B8" s="22">
        <v>2</v>
      </c>
      <c r="E8" s="22" t="s">
        <v>51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</row>
    <row r="9" spans="1:10">
      <c r="A9" s="22">
        <v>2</v>
      </c>
      <c r="B9" s="22">
        <v>3</v>
      </c>
      <c r="E9" s="22" t="s">
        <v>51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</row>
    <row r="10" spans="1:10">
      <c r="A10" s="22">
        <v>2</v>
      </c>
      <c r="B10" s="22">
        <v>4</v>
      </c>
      <c r="E10" s="22" t="s">
        <v>51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</row>
    <row r="11" spans="1:10">
      <c r="A11" s="22">
        <v>2</v>
      </c>
      <c r="B11" s="22">
        <v>5</v>
      </c>
      <c r="E11" s="22" t="s">
        <v>51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</row>
    <row r="12" spans="1:10">
      <c r="A12" s="22">
        <v>3</v>
      </c>
      <c r="B12" s="22">
        <v>1</v>
      </c>
      <c r="E12" s="22" t="s">
        <v>51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</row>
    <row r="13" spans="1:10">
      <c r="A13" s="22">
        <v>3</v>
      </c>
      <c r="B13" s="22">
        <v>2</v>
      </c>
      <c r="E13" s="22" t="s">
        <v>51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</row>
    <row r="14" spans="1:10">
      <c r="A14" s="22">
        <v>3</v>
      </c>
      <c r="B14" s="22">
        <v>3</v>
      </c>
      <c r="E14" s="22" t="s">
        <v>51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</row>
    <row r="15" spans="1:10">
      <c r="A15" s="22">
        <v>3</v>
      </c>
      <c r="B15" s="22">
        <v>4</v>
      </c>
      <c r="E15" s="22" t="s">
        <v>51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</row>
    <row r="16" spans="1:10">
      <c r="A16" s="22">
        <v>3</v>
      </c>
      <c r="B16" s="22">
        <v>5</v>
      </c>
      <c r="E16" s="22" t="s">
        <v>51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</row>
    <row r="17" spans="1:10">
      <c r="A17" s="22">
        <v>4</v>
      </c>
      <c r="B17" s="22">
        <v>1</v>
      </c>
      <c r="C17" s="22" t="s">
        <v>50</v>
      </c>
      <c r="D17" s="22" t="s">
        <v>35</v>
      </c>
      <c r="E17" s="22" t="s">
        <v>51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</row>
    <row r="18" spans="1:10">
      <c r="A18" s="22">
        <v>4</v>
      </c>
      <c r="B18" s="22">
        <v>2</v>
      </c>
      <c r="C18" s="22" t="s">
        <v>27</v>
      </c>
      <c r="D18" s="22" t="s">
        <v>49</v>
      </c>
      <c r="E18" s="22" t="s">
        <v>51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</row>
    <row r="19" spans="1:10">
      <c r="A19" s="22">
        <v>4</v>
      </c>
      <c r="B19" s="22">
        <v>3</v>
      </c>
      <c r="C19" s="22" t="s">
        <v>48</v>
      </c>
      <c r="D19" s="22" t="s">
        <v>35</v>
      </c>
      <c r="E19" s="22" t="s">
        <v>51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</row>
    <row r="20" spans="1:10">
      <c r="A20" s="22">
        <v>4</v>
      </c>
      <c r="B20" s="22">
        <v>4</v>
      </c>
      <c r="E20" s="22" t="s">
        <v>51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>
      <c r="A21" s="22">
        <v>4</v>
      </c>
      <c r="B21" s="22">
        <v>5</v>
      </c>
      <c r="E21" s="22" t="s">
        <v>51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</row>
    <row r="22" spans="1:10">
      <c r="A22" s="22">
        <v>5</v>
      </c>
      <c r="B22" s="22">
        <v>1</v>
      </c>
      <c r="E22" s="22" t="s">
        <v>51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</row>
    <row r="23" spans="1:10">
      <c r="A23" s="22">
        <v>5</v>
      </c>
      <c r="B23" s="22">
        <v>2</v>
      </c>
      <c r="C23" s="22" t="s">
        <v>34</v>
      </c>
      <c r="D23" s="22" t="s">
        <v>47</v>
      </c>
      <c r="E23" s="22" t="s">
        <v>51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</row>
    <row r="24" spans="1:10">
      <c r="A24" s="22">
        <v>5</v>
      </c>
      <c r="B24" s="22">
        <v>3</v>
      </c>
      <c r="C24" s="22" t="s">
        <v>36</v>
      </c>
      <c r="D24" s="22" t="s">
        <v>47</v>
      </c>
      <c r="E24" s="22" t="s">
        <v>51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</row>
    <row r="25" spans="1:10">
      <c r="A25" s="22">
        <v>5</v>
      </c>
      <c r="B25" s="22">
        <v>4</v>
      </c>
      <c r="E25" s="22" t="s">
        <v>51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</row>
    <row r="26" spans="1:10">
      <c r="A26" s="22">
        <v>5</v>
      </c>
      <c r="B26" s="22">
        <v>5</v>
      </c>
      <c r="E26" s="22" t="s">
        <v>51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</row>
    <row r="27" spans="1:10">
      <c r="A27" s="22">
        <v>6</v>
      </c>
      <c r="B27" s="22">
        <v>1</v>
      </c>
      <c r="E27" s="22" t="s">
        <v>51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</row>
    <row r="28" spans="1:10">
      <c r="A28" s="22">
        <v>6</v>
      </c>
      <c r="B28" s="22">
        <v>2</v>
      </c>
      <c r="E28" s="22" t="s">
        <v>51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</row>
    <row r="29" spans="1:10">
      <c r="A29" s="22">
        <v>6</v>
      </c>
      <c r="B29" s="22">
        <v>3</v>
      </c>
      <c r="E29" s="22" t="s">
        <v>51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>
      <c r="A30" s="22">
        <v>6</v>
      </c>
      <c r="B30" s="22">
        <v>4</v>
      </c>
      <c r="E30" s="22" t="s">
        <v>51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>
      <c r="A31" s="22">
        <v>6</v>
      </c>
      <c r="B31" s="22">
        <v>5</v>
      </c>
      <c r="E31" s="22" t="s">
        <v>51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</row>
    <row r="32" spans="1:10">
      <c r="A32" s="22">
        <v>7</v>
      </c>
      <c r="B32" s="22">
        <v>1</v>
      </c>
      <c r="E32" s="22" t="s">
        <v>51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</row>
    <row r="33" spans="1:10">
      <c r="A33" s="22">
        <v>7</v>
      </c>
      <c r="B33" s="22">
        <v>2</v>
      </c>
      <c r="E33" s="22" t="s">
        <v>51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</row>
    <row r="34" spans="1:10">
      <c r="A34" s="22">
        <v>7</v>
      </c>
      <c r="B34" s="22">
        <v>3</v>
      </c>
      <c r="E34" s="22" t="s">
        <v>51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</row>
    <row r="35" spans="1:10">
      <c r="A35" s="22">
        <v>7</v>
      </c>
      <c r="B35" s="22">
        <v>4</v>
      </c>
      <c r="E35" s="22" t="s">
        <v>51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</row>
    <row r="36" spans="1:10">
      <c r="A36" s="22">
        <v>7</v>
      </c>
      <c r="B36" s="22">
        <v>5</v>
      </c>
      <c r="E36" s="22" t="s">
        <v>51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</row>
    <row r="37" spans="1:10">
      <c r="A37" s="22">
        <v>8</v>
      </c>
      <c r="B37" s="22">
        <v>1</v>
      </c>
      <c r="E37" s="22" t="s">
        <v>51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</row>
    <row r="38" spans="1:10">
      <c r="A38" s="22">
        <v>8</v>
      </c>
      <c r="B38" s="22">
        <v>2</v>
      </c>
      <c r="E38" s="22" t="s">
        <v>51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</row>
    <row r="39" spans="1:10">
      <c r="A39" s="22">
        <v>8</v>
      </c>
      <c r="B39" s="22">
        <v>3</v>
      </c>
      <c r="E39" s="22" t="s">
        <v>51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</row>
    <row r="40" spans="1:10">
      <c r="A40" s="22">
        <v>8</v>
      </c>
      <c r="B40" s="22">
        <v>4</v>
      </c>
      <c r="E40" s="22" t="s">
        <v>51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</row>
    <row r="41" spans="1:10">
      <c r="A41" s="22">
        <v>8</v>
      </c>
      <c r="B41" s="22">
        <v>5</v>
      </c>
      <c r="C41" s="22" t="s">
        <v>27</v>
      </c>
      <c r="D41" s="22" t="s">
        <v>49</v>
      </c>
      <c r="E41" s="22" t="s">
        <v>51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</row>
    <row r="42" spans="1:10">
      <c r="A42" s="22">
        <v>9</v>
      </c>
      <c r="B42" s="22">
        <v>1</v>
      </c>
      <c r="E42" s="22" t="s">
        <v>51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</row>
    <row r="43" spans="1:10">
      <c r="A43" s="22">
        <v>9</v>
      </c>
      <c r="B43" s="22">
        <v>2</v>
      </c>
      <c r="E43" s="22" t="s">
        <v>51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</row>
    <row r="44" spans="1:10">
      <c r="A44" s="22">
        <v>9</v>
      </c>
      <c r="B44" s="22">
        <v>3</v>
      </c>
      <c r="E44" s="22" t="s">
        <v>51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</row>
    <row r="45" spans="1:10">
      <c r="A45" s="22">
        <v>9</v>
      </c>
      <c r="B45" s="22">
        <v>4</v>
      </c>
      <c r="E45" s="22" t="s">
        <v>51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</row>
    <row r="46" spans="1:10">
      <c r="A46" s="22">
        <v>9</v>
      </c>
      <c r="B46" s="22">
        <v>5</v>
      </c>
      <c r="E46" s="22" t="s">
        <v>51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</row>
    <row r="47" spans="1:10">
      <c r="A47" s="22">
        <v>10</v>
      </c>
      <c r="B47" s="22">
        <v>1</v>
      </c>
      <c r="E47" s="22" t="s">
        <v>51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</row>
    <row r="48" spans="1:10">
      <c r="A48" s="22">
        <v>10</v>
      </c>
      <c r="B48" s="22">
        <v>2</v>
      </c>
      <c r="C48" s="22" t="s">
        <v>50</v>
      </c>
      <c r="D48" s="22" t="s">
        <v>35</v>
      </c>
      <c r="E48" s="22" t="s">
        <v>51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</row>
    <row r="49" spans="1:10">
      <c r="A49" s="22">
        <v>10</v>
      </c>
      <c r="B49" s="22">
        <v>3</v>
      </c>
      <c r="C49" s="22" t="s">
        <v>48</v>
      </c>
      <c r="D49" s="22" t="s">
        <v>35</v>
      </c>
      <c r="E49" s="22" t="s">
        <v>51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</row>
    <row r="50" spans="1:10">
      <c r="A50" s="22">
        <v>10</v>
      </c>
      <c r="B50" s="22">
        <v>4</v>
      </c>
      <c r="E50" s="22" t="s">
        <v>51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</row>
    <row r="51" spans="1:10">
      <c r="A51" s="22">
        <v>10</v>
      </c>
      <c r="B51" s="22">
        <v>5</v>
      </c>
      <c r="E51" s="22" t="s">
        <v>51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</row>
    <row r="52" spans="1:10">
      <c r="A52" s="22">
        <v>11</v>
      </c>
      <c r="B52" s="22">
        <v>1</v>
      </c>
      <c r="E52" s="22" t="s">
        <v>51</v>
      </c>
      <c r="F52" s="22">
        <v>0</v>
      </c>
      <c r="G52" s="22">
        <v>0</v>
      </c>
      <c r="H52" s="22">
        <v>0</v>
      </c>
      <c r="I52" s="22">
        <v>0</v>
      </c>
      <c r="J52" s="22">
        <v>0</v>
      </c>
    </row>
    <row r="53" spans="1:10">
      <c r="A53" s="22">
        <v>11</v>
      </c>
      <c r="B53" s="22">
        <v>2</v>
      </c>
      <c r="E53" s="22" t="s">
        <v>51</v>
      </c>
      <c r="F53" s="22">
        <v>0</v>
      </c>
      <c r="G53" s="22">
        <v>0</v>
      </c>
      <c r="H53" s="22">
        <v>0</v>
      </c>
      <c r="I53" s="22">
        <v>0</v>
      </c>
      <c r="J53" s="22">
        <v>0</v>
      </c>
    </row>
    <row r="54" spans="1:10">
      <c r="A54" s="22">
        <v>11</v>
      </c>
      <c r="B54" s="22">
        <v>3</v>
      </c>
      <c r="E54" s="22" t="s">
        <v>51</v>
      </c>
      <c r="F54" s="22">
        <v>0</v>
      </c>
      <c r="G54" s="22">
        <v>0</v>
      </c>
      <c r="H54" s="22">
        <v>0</v>
      </c>
      <c r="I54" s="22">
        <v>0</v>
      </c>
      <c r="J54" s="22">
        <v>0</v>
      </c>
    </row>
    <row r="55" spans="1:10">
      <c r="A55" s="22">
        <v>11</v>
      </c>
      <c r="B55" s="22">
        <v>4</v>
      </c>
      <c r="C55" s="22" t="s">
        <v>34</v>
      </c>
      <c r="D55" s="22" t="s">
        <v>47</v>
      </c>
      <c r="E55" s="22" t="s">
        <v>51</v>
      </c>
      <c r="F55" s="22">
        <v>0</v>
      </c>
      <c r="G55" s="22">
        <v>0</v>
      </c>
      <c r="H55" s="22">
        <v>0</v>
      </c>
      <c r="I55" s="22">
        <v>0</v>
      </c>
      <c r="J55" s="22">
        <v>0</v>
      </c>
    </row>
    <row r="56" spans="1:10">
      <c r="A56" s="22">
        <v>11</v>
      </c>
      <c r="B56" s="22">
        <v>5</v>
      </c>
      <c r="E56" s="22" t="s">
        <v>51</v>
      </c>
      <c r="F56" s="22">
        <v>0</v>
      </c>
      <c r="G56" s="22">
        <v>0</v>
      </c>
      <c r="H56" s="22">
        <v>0</v>
      </c>
      <c r="I56" s="22">
        <v>0</v>
      </c>
      <c r="J56" s="22">
        <v>0</v>
      </c>
    </row>
    <row r="57" spans="1:10">
      <c r="A57" s="22">
        <v>12</v>
      </c>
      <c r="B57" s="22">
        <v>1</v>
      </c>
      <c r="C57" s="22" t="s">
        <v>27</v>
      </c>
      <c r="D57" s="22" t="s">
        <v>49</v>
      </c>
      <c r="E57" s="22" t="s">
        <v>51</v>
      </c>
      <c r="F57" s="22">
        <v>0</v>
      </c>
      <c r="G57" s="22">
        <v>0</v>
      </c>
      <c r="H57" s="22">
        <v>0</v>
      </c>
      <c r="I57" s="22">
        <v>0</v>
      </c>
      <c r="J57" s="22">
        <v>0</v>
      </c>
    </row>
    <row r="58" spans="1:10">
      <c r="A58" s="22">
        <v>12</v>
      </c>
      <c r="B58" s="22">
        <v>2</v>
      </c>
      <c r="E58" s="22" t="s">
        <v>51</v>
      </c>
      <c r="F58" s="22">
        <v>0</v>
      </c>
      <c r="G58" s="22">
        <v>0</v>
      </c>
      <c r="H58" s="22">
        <v>0</v>
      </c>
      <c r="I58" s="22">
        <v>0</v>
      </c>
      <c r="J58" s="22">
        <v>0</v>
      </c>
    </row>
    <row r="59" spans="1:10">
      <c r="A59" s="22">
        <v>12</v>
      </c>
      <c r="B59" s="22">
        <v>3</v>
      </c>
      <c r="C59" s="22" t="s">
        <v>36</v>
      </c>
      <c r="D59" s="22" t="s">
        <v>47</v>
      </c>
      <c r="E59" s="22" t="s">
        <v>51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</row>
    <row r="60" spans="1:10">
      <c r="A60" s="22">
        <v>12</v>
      </c>
      <c r="B60" s="22">
        <v>4</v>
      </c>
      <c r="E60" s="22" t="s">
        <v>51</v>
      </c>
      <c r="F60" s="22">
        <v>0</v>
      </c>
      <c r="G60" s="22">
        <v>0</v>
      </c>
      <c r="H60" s="22">
        <v>0</v>
      </c>
      <c r="I60" s="22">
        <v>0</v>
      </c>
      <c r="J60" s="22">
        <v>0</v>
      </c>
    </row>
    <row r="61" spans="1:10">
      <c r="A61" s="22">
        <v>12</v>
      </c>
      <c r="B61" s="22">
        <v>5</v>
      </c>
      <c r="E61" s="22" t="s">
        <v>51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</row>
    <row r="62" spans="1:10">
      <c r="A62" s="22">
        <v>13</v>
      </c>
      <c r="B62" s="22">
        <v>1</v>
      </c>
      <c r="E62" s="22" t="s">
        <v>51</v>
      </c>
      <c r="F62" s="22">
        <v>0</v>
      </c>
      <c r="G62" s="22">
        <v>0</v>
      </c>
      <c r="H62" s="22">
        <v>0</v>
      </c>
      <c r="I62" s="22">
        <v>0</v>
      </c>
      <c r="J62" s="22">
        <v>0</v>
      </c>
    </row>
    <row r="63" spans="1:10">
      <c r="A63" s="22">
        <v>13</v>
      </c>
      <c r="B63" s="22">
        <v>2</v>
      </c>
      <c r="E63" s="22" t="s">
        <v>51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</row>
    <row r="64" spans="1:10">
      <c r="A64" s="22">
        <v>13</v>
      </c>
      <c r="B64" s="22">
        <v>3</v>
      </c>
      <c r="E64" s="22" t="s">
        <v>51</v>
      </c>
      <c r="F64" s="22">
        <v>0</v>
      </c>
      <c r="G64" s="22">
        <v>0</v>
      </c>
      <c r="H64" s="22">
        <v>0</v>
      </c>
      <c r="I64" s="22">
        <v>0</v>
      </c>
      <c r="J64" s="22">
        <v>0</v>
      </c>
    </row>
    <row r="65" spans="1:10">
      <c r="A65" s="22">
        <v>13</v>
      </c>
      <c r="B65" s="22">
        <v>4</v>
      </c>
      <c r="E65" s="22" t="s">
        <v>51</v>
      </c>
      <c r="F65" s="22">
        <v>0</v>
      </c>
      <c r="G65" s="22">
        <v>0</v>
      </c>
      <c r="H65" s="22">
        <v>0</v>
      </c>
      <c r="I65" s="22">
        <v>0</v>
      </c>
      <c r="J65" s="22">
        <v>0</v>
      </c>
    </row>
    <row r="66" spans="1:10">
      <c r="A66" s="22">
        <v>13</v>
      </c>
      <c r="B66" s="22">
        <v>5</v>
      </c>
      <c r="E66" s="22" t="s">
        <v>51</v>
      </c>
      <c r="F66" s="22">
        <v>0</v>
      </c>
      <c r="G66" s="22">
        <v>0</v>
      </c>
      <c r="H66" s="22">
        <v>0</v>
      </c>
      <c r="I66" s="22">
        <v>0</v>
      </c>
      <c r="J66" s="22">
        <v>0</v>
      </c>
    </row>
    <row r="67" spans="1:10">
      <c r="A67" s="22">
        <v>14</v>
      </c>
      <c r="B67" s="22">
        <v>1</v>
      </c>
      <c r="C67" s="22" t="s">
        <v>50</v>
      </c>
      <c r="D67" s="22" t="s">
        <v>35</v>
      </c>
      <c r="E67" s="22" t="s">
        <v>51</v>
      </c>
      <c r="F67" s="22">
        <v>0</v>
      </c>
      <c r="G67" s="22">
        <v>0</v>
      </c>
      <c r="H67" s="22">
        <v>0</v>
      </c>
      <c r="I67" s="22">
        <v>0</v>
      </c>
      <c r="J67" s="22">
        <v>0</v>
      </c>
    </row>
    <row r="68" spans="1:10">
      <c r="A68" s="22">
        <v>14</v>
      </c>
      <c r="B68" s="22">
        <v>2</v>
      </c>
      <c r="C68" s="22" t="s">
        <v>48</v>
      </c>
      <c r="D68" s="22" t="s">
        <v>35</v>
      </c>
      <c r="E68" s="22" t="s">
        <v>51</v>
      </c>
      <c r="F68" s="22">
        <v>0</v>
      </c>
      <c r="G68" s="22">
        <v>0</v>
      </c>
      <c r="H68" s="22">
        <v>0</v>
      </c>
      <c r="I68" s="22">
        <v>0</v>
      </c>
      <c r="J68" s="22">
        <v>0</v>
      </c>
    </row>
    <row r="69" spans="1:10">
      <c r="A69" s="22">
        <v>14</v>
      </c>
      <c r="B69" s="22">
        <v>3</v>
      </c>
      <c r="E69" s="22" t="s">
        <v>51</v>
      </c>
      <c r="F69" s="22">
        <v>0</v>
      </c>
      <c r="G69" s="22">
        <v>0</v>
      </c>
      <c r="H69" s="22">
        <v>0</v>
      </c>
      <c r="I69" s="22">
        <v>0</v>
      </c>
      <c r="J69" s="22">
        <v>0</v>
      </c>
    </row>
    <row r="70" spans="1:10">
      <c r="A70" s="22">
        <v>14</v>
      </c>
      <c r="B70" s="22">
        <v>4</v>
      </c>
      <c r="E70" s="22" t="s">
        <v>51</v>
      </c>
      <c r="F70" s="22">
        <v>0</v>
      </c>
      <c r="G70" s="22">
        <v>0</v>
      </c>
      <c r="H70" s="22">
        <v>0</v>
      </c>
      <c r="I70" s="22">
        <v>0</v>
      </c>
      <c r="J70" s="22">
        <v>0</v>
      </c>
    </row>
    <row r="71" spans="1:10">
      <c r="A71" s="22">
        <v>14</v>
      </c>
      <c r="B71" s="22">
        <v>5</v>
      </c>
      <c r="E71" s="22" t="s">
        <v>51</v>
      </c>
      <c r="F71" s="22">
        <v>0</v>
      </c>
      <c r="G71" s="22">
        <v>0</v>
      </c>
      <c r="H71" s="22">
        <v>0</v>
      </c>
      <c r="I71" s="22">
        <v>0</v>
      </c>
      <c r="J71" s="22">
        <v>0</v>
      </c>
    </row>
    <row r="72" spans="1:10">
      <c r="A72" s="22">
        <v>15</v>
      </c>
      <c r="B72" s="22">
        <v>1</v>
      </c>
      <c r="E72" s="22" t="s">
        <v>51</v>
      </c>
      <c r="F72" s="22">
        <v>0</v>
      </c>
      <c r="G72" s="22">
        <v>0</v>
      </c>
      <c r="H72" s="22">
        <v>0</v>
      </c>
      <c r="I72" s="22">
        <v>0</v>
      </c>
      <c r="J72" s="22">
        <v>0</v>
      </c>
    </row>
    <row r="73" spans="1:10">
      <c r="A73" s="22">
        <v>15</v>
      </c>
      <c r="B73" s="22">
        <v>2</v>
      </c>
      <c r="E73" s="22" t="s">
        <v>51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</row>
    <row r="74" spans="1:10">
      <c r="A74" s="22">
        <v>15</v>
      </c>
      <c r="B74" s="22">
        <v>3</v>
      </c>
      <c r="E74" s="22" t="s">
        <v>51</v>
      </c>
      <c r="F74" s="22">
        <v>0</v>
      </c>
      <c r="G74" s="22">
        <v>0</v>
      </c>
      <c r="H74" s="22">
        <v>0</v>
      </c>
      <c r="I74" s="22">
        <v>0</v>
      </c>
      <c r="J74" s="22">
        <v>0</v>
      </c>
    </row>
    <row r="75" spans="1:10">
      <c r="A75" s="22">
        <v>15</v>
      </c>
      <c r="B75" s="22">
        <v>4</v>
      </c>
      <c r="E75" s="22" t="s">
        <v>51</v>
      </c>
      <c r="F75" s="22">
        <v>0</v>
      </c>
      <c r="G75" s="22">
        <v>0</v>
      </c>
      <c r="H75" s="22">
        <v>0</v>
      </c>
      <c r="I75" s="22">
        <v>0</v>
      </c>
      <c r="J75" s="22">
        <v>0</v>
      </c>
    </row>
    <row r="76" spans="1:10">
      <c r="A76" s="22">
        <v>15</v>
      </c>
      <c r="B76" s="22">
        <v>5</v>
      </c>
      <c r="E76" s="22" t="s">
        <v>51</v>
      </c>
      <c r="F76" s="22">
        <v>0</v>
      </c>
      <c r="G76" s="22">
        <v>0</v>
      </c>
      <c r="H76" s="22">
        <v>0</v>
      </c>
      <c r="I76" s="22">
        <v>0</v>
      </c>
      <c r="J76" s="22">
        <v>0</v>
      </c>
    </row>
    <row r="77" spans="1:10">
      <c r="A77" s="22">
        <v>16</v>
      </c>
      <c r="B77" s="22">
        <v>1</v>
      </c>
      <c r="E77" s="22" t="s">
        <v>51</v>
      </c>
      <c r="F77" s="22">
        <v>0</v>
      </c>
      <c r="G77" s="22">
        <v>0</v>
      </c>
      <c r="H77" s="22">
        <v>0</v>
      </c>
      <c r="I77" s="22">
        <v>0</v>
      </c>
      <c r="J77" s="22">
        <v>0</v>
      </c>
    </row>
    <row r="78" spans="1:10">
      <c r="A78" s="22">
        <v>16</v>
      </c>
      <c r="B78" s="22">
        <v>2</v>
      </c>
      <c r="E78" s="22" t="s">
        <v>51</v>
      </c>
      <c r="F78" s="22">
        <v>0</v>
      </c>
      <c r="G78" s="22">
        <v>0</v>
      </c>
      <c r="H78" s="22">
        <v>0</v>
      </c>
      <c r="I78" s="22">
        <v>0</v>
      </c>
      <c r="J78" s="22">
        <v>0</v>
      </c>
    </row>
    <row r="79" spans="1:10">
      <c r="A79" s="22">
        <v>16</v>
      </c>
      <c r="B79" s="22">
        <v>3</v>
      </c>
      <c r="E79" s="22" t="s">
        <v>51</v>
      </c>
      <c r="F79" s="22">
        <v>0</v>
      </c>
      <c r="G79" s="22">
        <v>0</v>
      </c>
      <c r="H79" s="22">
        <v>0</v>
      </c>
      <c r="I79" s="22">
        <v>0</v>
      </c>
      <c r="J79" s="22">
        <v>0</v>
      </c>
    </row>
    <row r="80" spans="1:10">
      <c r="A80" s="22">
        <v>16</v>
      </c>
      <c r="B80" s="22">
        <v>4</v>
      </c>
      <c r="E80" s="22" t="s">
        <v>51</v>
      </c>
      <c r="F80" s="22">
        <v>0</v>
      </c>
      <c r="G80" s="22">
        <v>0</v>
      </c>
      <c r="H80" s="22">
        <v>0</v>
      </c>
      <c r="I80" s="22">
        <v>0</v>
      </c>
      <c r="J80" s="22">
        <v>0</v>
      </c>
    </row>
    <row r="81" spans="1:10">
      <c r="A81" s="22">
        <v>16</v>
      </c>
      <c r="B81" s="22">
        <v>5</v>
      </c>
      <c r="E81" s="22" t="s">
        <v>51</v>
      </c>
      <c r="F81" s="22">
        <v>0</v>
      </c>
      <c r="G81" s="22">
        <v>0</v>
      </c>
      <c r="H81" s="22">
        <v>0</v>
      </c>
      <c r="I81" s="22">
        <v>0</v>
      </c>
      <c r="J81" s="22">
        <v>0</v>
      </c>
    </row>
    <row r="82" spans="1:10">
      <c r="A82" s="22">
        <v>17</v>
      </c>
      <c r="B82" s="22">
        <v>1</v>
      </c>
      <c r="E82" s="22" t="s">
        <v>51</v>
      </c>
      <c r="F82" s="22">
        <v>0</v>
      </c>
      <c r="G82" s="22">
        <v>0</v>
      </c>
      <c r="H82" s="22">
        <v>0</v>
      </c>
      <c r="I82" s="22">
        <v>0</v>
      </c>
      <c r="J82" s="22">
        <v>0</v>
      </c>
    </row>
    <row r="83" spans="1:10">
      <c r="A83" s="22">
        <v>17</v>
      </c>
      <c r="B83" s="22">
        <v>2</v>
      </c>
      <c r="C83" s="22" t="s">
        <v>34</v>
      </c>
      <c r="D83" s="22" t="s">
        <v>47</v>
      </c>
      <c r="E83" s="22" t="s">
        <v>51</v>
      </c>
      <c r="F83" s="22">
        <v>0</v>
      </c>
      <c r="G83" s="22">
        <v>0</v>
      </c>
      <c r="H83" s="22">
        <v>0</v>
      </c>
      <c r="I83" s="22">
        <v>0</v>
      </c>
      <c r="J83" s="22">
        <v>0</v>
      </c>
    </row>
    <row r="84" spans="1:10">
      <c r="A84" s="22">
        <v>17</v>
      </c>
      <c r="B84" s="22">
        <v>3</v>
      </c>
      <c r="C84" s="22" t="s">
        <v>36</v>
      </c>
      <c r="D84" s="22" t="s">
        <v>47</v>
      </c>
      <c r="E84" s="22" t="s">
        <v>51</v>
      </c>
      <c r="F84" s="22">
        <v>0</v>
      </c>
      <c r="G84" s="22">
        <v>0</v>
      </c>
      <c r="H84" s="22">
        <v>0</v>
      </c>
      <c r="I84" s="22">
        <v>0</v>
      </c>
      <c r="J84" s="22">
        <v>0</v>
      </c>
    </row>
    <row r="85" spans="1:10">
      <c r="A85" s="22">
        <v>17</v>
      </c>
      <c r="B85" s="22">
        <v>4</v>
      </c>
      <c r="E85" s="22" t="s">
        <v>51</v>
      </c>
      <c r="F85" s="22">
        <v>0</v>
      </c>
      <c r="G85" s="22">
        <v>0</v>
      </c>
      <c r="H85" s="22">
        <v>0</v>
      </c>
      <c r="I85" s="22">
        <v>0</v>
      </c>
      <c r="J85" s="22">
        <v>0</v>
      </c>
    </row>
    <row r="86" spans="1:10">
      <c r="A86" s="22">
        <v>17</v>
      </c>
      <c r="B86" s="22">
        <v>5</v>
      </c>
      <c r="E86" s="22" t="s">
        <v>51</v>
      </c>
      <c r="F86" s="22">
        <v>0</v>
      </c>
      <c r="G86" s="22">
        <v>0</v>
      </c>
      <c r="H86" s="22">
        <v>0</v>
      </c>
      <c r="I86" s="22">
        <v>0</v>
      </c>
      <c r="J86" s="22">
        <v>0</v>
      </c>
    </row>
    <row r="87" spans="1:10">
      <c r="A87" s="22">
        <v>18</v>
      </c>
      <c r="B87" s="22">
        <v>1</v>
      </c>
      <c r="E87" s="22" t="s">
        <v>51</v>
      </c>
      <c r="F87" s="22">
        <v>0</v>
      </c>
      <c r="G87" s="22">
        <v>0</v>
      </c>
      <c r="H87" s="22">
        <v>0</v>
      </c>
      <c r="I87" s="22">
        <v>0</v>
      </c>
      <c r="J87" s="22">
        <v>0</v>
      </c>
    </row>
    <row r="88" spans="1:10">
      <c r="A88" s="22">
        <v>18</v>
      </c>
      <c r="B88" s="22">
        <v>2</v>
      </c>
      <c r="E88" s="22" t="s">
        <v>51</v>
      </c>
      <c r="F88" s="22">
        <v>0</v>
      </c>
      <c r="G88" s="22">
        <v>0</v>
      </c>
      <c r="H88" s="22">
        <v>0</v>
      </c>
      <c r="I88" s="22">
        <v>0</v>
      </c>
      <c r="J88" s="22">
        <v>0</v>
      </c>
    </row>
    <row r="89" spans="1:10">
      <c r="A89" s="22">
        <v>18</v>
      </c>
      <c r="B89" s="22">
        <v>3</v>
      </c>
      <c r="E89" s="22" t="s">
        <v>51</v>
      </c>
      <c r="F89" s="22">
        <v>0</v>
      </c>
      <c r="G89" s="22">
        <v>0</v>
      </c>
      <c r="H89" s="22">
        <v>0</v>
      </c>
      <c r="I89" s="22">
        <v>0</v>
      </c>
      <c r="J89" s="22">
        <v>0</v>
      </c>
    </row>
    <row r="90" spans="1:10">
      <c r="A90" s="22">
        <v>18</v>
      </c>
      <c r="B90" s="22">
        <v>4</v>
      </c>
      <c r="E90" s="22" t="s">
        <v>51</v>
      </c>
      <c r="F90" s="22">
        <v>0</v>
      </c>
      <c r="G90" s="22">
        <v>0</v>
      </c>
      <c r="H90" s="22">
        <v>0</v>
      </c>
      <c r="I90" s="22">
        <v>0</v>
      </c>
      <c r="J90" s="22">
        <v>0</v>
      </c>
    </row>
    <row r="91" spans="1:10">
      <c r="A91" s="22">
        <v>18</v>
      </c>
      <c r="B91" s="22">
        <v>5</v>
      </c>
      <c r="E91" s="22" t="s">
        <v>51</v>
      </c>
      <c r="F91" s="22">
        <v>0</v>
      </c>
      <c r="G91" s="22">
        <v>0</v>
      </c>
      <c r="H91" s="22">
        <v>0</v>
      </c>
      <c r="I91" s="22">
        <v>0</v>
      </c>
      <c r="J91" s="22">
        <v>0</v>
      </c>
    </row>
    <row r="92" spans="1:10">
      <c r="A92" s="22">
        <v>19</v>
      </c>
      <c r="B92" s="22">
        <v>1</v>
      </c>
      <c r="E92" s="22" t="s">
        <v>51</v>
      </c>
      <c r="F92" s="22">
        <v>0</v>
      </c>
      <c r="G92" s="22">
        <v>0</v>
      </c>
      <c r="H92" s="22">
        <v>0</v>
      </c>
      <c r="I92" s="22">
        <v>0</v>
      </c>
      <c r="J92" s="22">
        <v>0</v>
      </c>
    </row>
    <row r="93" spans="1:10">
      <c r="A93" s="22">
        <v>19</v>
      </c>
      <c r="B93" s="22">
        <v>2</v>
      </c>
      <c r="E93" s="22" t="s">
        <v>51</v>
      </c>
      <c r="F93" s="22">
        <v>0</v>
      </c>
      <c r="G93" s="22">
        <v>0</v>
      </c>
      <c r="H93" s="22">
        <v>0</v>
      </c>
      <c r="I93" s="22">
        <v>0</v>
      </c>
      <c r="J93" s="22">
        <v>0</v>
      </c>
    </row>
    <row r="94" spans="1:10">
      <c r="A94" s="22">
        <v>19</v>
      </c>
      <c r="B94" s="22">
        <v>3</v>
      </c>
      <c r="E94" s="22" t="s">
        <v>51</v>
      </c>
      <c r="F94" s="22">
        <v>0</v>
      </c>
      <c r="G94" s="22">
        <v>0</v>
      </c>
      <c r="H94" s="22">
        <v>0</v>
      </c>
      <c r="I94" s="22">
        <v>0</v>
      </c>
      <c r="J94" s="22">
        <v>0</v>
      </c>
    </row>
    <row r="95" spans="1:10">
      <c r="A95" s="22">
        <v>19</v>
      </c>
      <c r="B95" s="22">
        <v>4</v>
      </c>
      <c r="E95" s="22" t="s">
        <v>51</v>
      </c>
      <c r="F95" s="22">
        <v>0</v>
      </c>
      <c r="G95" s="22">
        <v>0</v>
      </c>
      <c r="H95" s="22">
        <v>0</v>
      </c>
      <c r="I95" s="22">
        <v>0</v>
      </c>
      <c r="J95" s="22">
        <v>0</v>
      </c>
    </row>
    <row r="96" spans="1:10">
      <c r="A96" s="22">
        <v>19</v>
      </c>
      <c r="B96" s="22">
        <v>5</v>
      </c>
      <c r="E96" s="22" t="s">
        <v>51</v>
      </c>
      <c r="F96" s="22">
        <v>0</v>
      </c>
      <c r="G96" s="22">
        <v>0</v>
      </c>
      <c r="H96" s="22">
        <v>0</v>
      </c>
      <c r="I96" s="22">
        <v>0</v>
      </c>
      <c r="J96" s="22">
        <v>0</v>
      </c>
    </row>
    <row r="97" spans="1:10">
      <c r="A97" s="22">
        <v>20</v>
      </c>
      <c r="B97" s="22">
        <v>1</v>
      </c>
      <c r="E97" s="22" t="s">
        <v>51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</row>
    <row r="98" spans="1:10">
      <c r="A98" s="22">
        <v>20</v>
      </c>
      <c r="B98" s="22">
        <v>2</v>
      </c>
      <c r="E98" s="22" t="s">
        <v>51</v>
      </c>
      <c r="F98" s="22">
        <v>0</v>
      </c>
      <c r="G98" s="22">
        <v>0</v>
      </c>
      <c r="H98" s="22">
        <v>0</v>
      </c>
      <c r="I98" s="22">
        <v>0</v>
      </c>
      <c r="J98" s="22">
        <v>0</v>
      </c>
    </row>
    <row r="99" spans="1:10">
      <c r="A99" s="22">
        <v>20</v>
      </c>
      <c r="B99" s="22">
        <v>3</v>
      </c>
      <c r="E99" s="22" t="s">
        <v>51</v>
      </c>
      <c r="F99" s="22">
        <v>0</v>
      </c>
      <c r="G99" s="22">
        <v>0</v>
      </c>
      <c r="H99" s="22">
        <v>0</v>
      </c>
      <c r="I99" s="22">
        <v>0</v>
      </c>
      <c r="J99" s="22">
        <v>0</v>
      </c>
    </row>
    <row r="100" spans="1:10">
      <c r="A100" s="22">
        <v>20</v>
      </c>
      <c r="B100" s="22">
        <v>4</v>
      </c>
      <c r="E100" s="22" t="s">
        <v>51</v>
      </c>
      <c r="F100" s="22">
        <v>0</v>
      </c>
      <c r="G100" s="22">
        <v>0</v>
      </c>
      <c r="H100" s="22">
        <v>0</v>
      </c>
      <c r="I100" s="22">
        <v>0</v>
      </c>
      <c r="J100" s="22">
        <v>0</v>
      </c>
    </row>
    <row r="101" spans="1:10">
      <c r="A101" s="22">
        <v>20</v>
      </c>
      <c r="B101" s="22">
        <v>5</v>
      </c>
      <c r="E101" s="22" t="s">
        <v>51</v>
      </c>
      <c r="F101" s="22">
        <v>0</v>
      </c>
      <c r="G101" s="22">
        <v>0</v>
      </c>
      <c r="H101" s="22">
        <v>0</v>
      </c>
      <c r="I101" s="22">
        <v>0</v>
      </c>
      <c r="J101" s="22">
        <v>0</v>
      </c>
    </row>
  </sheetData>
  <phoneticPr fontId="3"/>
  <printOptions horizontalCentered="1" verticalCentered="1"/>
  <pageMargins left="0.75" right="0.75" top="0.75" bottom="0.75" header="0.5" footer="0.5"/>
  <pageSetup paperSize="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8B7EB-5C1A-4B4E-BC48-9748CFCE8857}">
  <sheetPr codeName="Sheet2">
    <pageSetUpPr fitToPage="1"/>
  </sheetPr>
  <dimension ref="A1:AG35"/>
  <sheetViews>
    <sheetView tabSelected="1" view="pageBreakPreview" zoomScale="83" zoomScaleNormal="100" zoomScaleSheetLayoutView="265" workbookViewId="0">
      <selection activeCell="AC33" sqref="AC33"/>
    </sheetView>
  </sheetViews>
  <sheetFormatPr baseColWidth="10" defaultColWidth="2.28515625" defaultRowHeight="14"/>
  <cols>
    <col min="1" max="33" width="4.85546875" style="31" customWidth="1"/>
    <col min="34" max="16384" width="2.28515625" style="31"/>
  </cols>
  <sheetData>
    <row r="1" spans="1:33" ht="15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33" ht="43" customHeight="1" thickBot="1">
      <c r="A2" s="1"/>
      <c r="B2" s="77">
        <v>2023</v>
      </c>
      <c r="C2" s="78"/>
      <c r="D2" s="69" t="s">
        <v>28</v>
      </c>
      <c r="E2" s="69"/>
      <c r="F2" s="18">
        <v>8</v>
      </c>
      <c r="G2" s="18" t="s">
        <v>29</v>
      </c>
      <c r="H2" s="18"/>
      <c r="I2" s="17"/>
      <c r="J2" s="19"/>
      <c r="K2" s="2"/>
      <c r="L2" s="3"/>
      <c r="M2" s="4"/>
      <c r="N2" s="35">
        <v>8</v>
      </c>
      <c r="O2" s="20" t="s">
        <v>30</v>
      </c>
      <c r="P2" s="35">
        <v>20</v>
      </c>
      <c r="Q2" s="21" t="s">
        <v>31</v>
      </c>
      <c r="R2" s="68" t="s">
        <v>0</v>
      </c>
      <c r="S2" s="68"/>
      <c r="AA2" s="75" t="s">
        <v>1</v>
      </c>
      <c r="AB2" s="76"/>
      <c r="AC2" s="72" t="str">
        <f>生徒データ!E2</f>
        <v>与田祐希</v>
      </c>
      <c r="AD2" s="73"/>
      <c r="AE2" s="73"/>
      <c r="AF2" s="74"/>
    </row>
    <row r="3" spans="1:33" ht="20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33" ht="20" customHeight="1" thickTop="1">
      <c r="A4" s="1"/>
      <c r="B4" s="70" t="s">
        <v>2</v>
      </c>
      <c r="C4" s="66" t="s">
        <v>32</v>
      </c>
      <c r="D4" s="23" t="s">
        <v>3</v>
      </c>
      <c r="E4" s="57">
        <v>45138</v>
      </c>
      <c r="F4" s="57">
        <f t="shared" ref="F4:AF4" si="0">E4+1</f>
        <v>45139</v>
      </c>
      <c r="G4" s="57">
        <f t="shared" si="0"/>
        <v>45140</v>
      </c>
      <c r="H4" s="57">
        <f t="shared" si="0"/>
        <v>45141</v>
      </c>
      <c r="I4" s="57">
        <f t="shared" si="0"/>
        <v>45142</v>
      </c>
      <c r="J4" s="57">
        <f t="shared" si="0"/>
        <v>45143</v>
      </c>
      <c r="K4" s="57">
        <f t="shared" si="0"/>
        <v>45144</v>
      </c>
      <c r="L4" s="57">
        <f t="shared" si="0"/>
        <v>45145</v>
      </c>
      <c r="M4" s="57">
        <f t="shared" si="0"/>
        <v>45146</v>
      </c>
      <c r="N4" s="57">
        <f t="shared" si="0"/>
        <v>45147</v>
      </c>
      <c r="O4" s="57">
        <f t="shared" si="0"/>
        <v>45148</v>
      </c>
      <c r="P4" s="57">
        <f t="shared" si="0"/>
        <v>45149</v>
      </c>
      <c r="Q4" s="57">
        <f t="shared" si="0"/>
        <v>45150</v>
      </c>
      <c r="R4" s="57">
        <f t="shared" si="0"/>
        <v>45151</v>
      </c>
      <c r="S4" s="57">
        <f t="shared" si="0"/>
        <v>45152</v>
      </c>
      <c r="T4" s="57">
        <f t="shared" si="0"/>
        <v>45153</v>
      </c>
      <c r="U4" s="57">
        <f t="shared" si="0"/>
        <v>45154</v>
      </c>
      <c r="V4" s="57">
        <f t="shared" si="0"/>
        <v>45155</v>
      </c>
      <c r="W4" s="57">
        <f t="shared" si="0"/>
        <v>45156</v>
      </c>
      <c r="X4" s="57">
        <f t="shared" si="0"/>
        <v>45157</v>
      </c>
      <c r="Y4" s="57">
        <f t="shared" si="0"/>
        <v>45158</v>
      </c>
      <c r="Z4" s="56">
        <f t="shared" si="0"/>
        <v>45159</v>
      </c>
      <c r="AA4" s="56">
        <f t="shared" si="0"/>
        <v>45160</v>
      </c>
      <c r="AB4" s="56">
        <f t="shared" si="0"/>
        <v>45161</v>
      </c>
      <c r="AC4" s="56">
        <f t="shared" si="0"/>
        <v>45162</v>
      </c>
      <c r="AD4" s="56">
        <f t="shared" si="0"/>
        <v>45163</v>
      </c>
      <c r="AE4" s="56">
        <f t="shared" si="0"/>
        <v>45164</v>
      </c>
      <c r="AF4" s="58">
        <f t="shared" si="0"/>
        <v>45165</v>
      </c>
    </row>
    <row r="5" spans="1:33" ht="20" customHeight="1" thickBot="1">
      <c r="A5" s="1"/>
      <c r="B5" s="71"/>
      <c r="C5" s="67"/>
      <c r="D5" s="24" t="s">
        <v>4</v>
      </c>
      <c r="E5" s="28" t="s">
        <v>5</v>
      </c>
      <c r="F5" s="28" t="s">
        <v>6</v>
      </c>
      <c r="G5" s="28" t="s">
        <v>7</v>
      </c>
      <c r="H5" s="28" t="s">
        <v>8</v>
      </c>
      <c r="I5" s="28" t="s">
        <v>9</v>
      </c>
      <c r="J5" s="28" t="s">
        <v>10</v>
      </c>
      <c r="K5" s="28" t="s">
        <v>11</v>
      </c>
      <c r="L5" s="28" t="s">
        <v>5</v>
      </c>
      <c r="M5" s="28" t="s">
        <v>6</v>
      </c>
      <c r="N5" s="28" t="s">
        <v>7</v>
      </c>
      <c r="O5" s="28" t="s">
        <v>8</v>
      </c>
      <c r="P5" s="28" t="s">
        <v>9</v>
      </c>
      <c r="Q5" s="28" t="s">
        <v>10</v>
      </c>
      <c r="R5" s="28" t="s">
        <v>11</v>
      </c>
      <c r="S5" s="28" t="s">
        <v>5</v>
      </c>
      <c r="T5" s="28" t="s">
        <v>6</v>
      </c>
      <c r="U5" s="28" t="s">
        <v>7</v>
      </c>
      <c r="V5" s="28" t="s">
        <v>8</v>
      </c>
      <c r="W5" s="28" t="s">
        <v>9</v>
      </c>
      <c r="X5" s="28" t="s">
        <v>10</v>
      </c>
      <c r="Y5" s="28" t="s">
        <v>11</v>
      </c>
      <c r="Z5" s="28" t="s">
        <v>5</v>
      </c>
      <c r="AA5" s="28" t="s">
        <v>6</v>
      </c>
      <c r="AB5" s="28" t="s">
        <v>7</v>
      </c>
      <c r="AC5" s="28" t="s">
        <v>8</v>
      </c>
      <c r="AD5" s="28" t="s">
        <v>9</v>
      </c>
      <c r="AE5" s="28" t="s">
        <v>10</v>
      </c>
      <c r="AF5" s="29" t="s">
        <v>11</v>
      </c>
    </row>
    <row r="6" spans="1:33" ht="25" customHeight="1" thickTop="1">
      <c r="A6" s="1"/>
      <c r="B6" s="60" t="s">
        <v>12</v>
      </c>
      <c r="C6" s="62" t="str">
        <f>TEXT("13:20", "h:mm")</f>
        <v>13:20</v>
      </c>
      <c r="D6" s="38" t="s">
        <v>13</v>
      </c>
      <c r="E6" s="39" t="str">
        <f>IF(生徒データ!C2=0,"",生徒データ!C2)</f>
        <v/>
      </c>
      <c r="F6" s="39" t="str">
        <f>IF(生徒データ!C7=0,"",生徒データ!C7)</f>
        <v/>
      </c>
      <c r="G6" s="39" t="str">
        <f>IF(生徒データ!C12=0,"",生徒データ!C12)</f>
        <v/>
      </c>
      <c r="H6" s="39" t="str">
        <f>IF(生徒データ!C17=0,"",生徒データ!C17)</f>
        <v>国語</v>
      </c>
      <c r="I6" s="39" t="str">
        <f>IF(生徒データ!C22=0,"",生徒データ!C22)</f>
        <v/>
      </c>
      <c r="J6" s="39" t="str">
        <f>IF(生徒データ!C27=0,"",生徒データ!C27)</f>
        <v/>
      </c>
      <c r="K6" s="39" t="str">
        <f>IF(生徒データ!C32=0,"",生徒データ!C32)</f>
        <v/>
      </c>
      <c r="L6" s="39" t="str">
        <f>IF(生徒データ!C37=0,"",生徒データ!C37)</f>
        <v/>
      </c>
      <c r="M6" s="39" t="str">
        <f>IF(生徒データ!C42=0,"",生徒データ!C42)</f>
        <v/>
      </c>
      <c r="N6" s="39" t="str">
        <f>IF(生徒データ!C47=0,"",生徒データ!C47)</f>
        <v/>
      </c>
      <c r="O6" s="39" t="str">
        <f>IF(生徒データ!C52=0,"",生徒データ!C52)</f>
        <v/>
      </c>
      <c r="P6" s="39" t="str">
        <f>IF(生徒データ!C57=0,"",生徒データ!C57)</f>
        <v>数学</v>
      </c>
      <c r="Q6" s="39" t="str">
        <f>IF(生徒データ!C62=0,"",生徒データ!C62)</f>
        <v/>
      </c>
      <c r="R6" s="39" t="str">
        <f>IF(生徒データ!C67=0,"",生徒データ!C67)</f>
        <v>国語</v>
      </c>
      <c r="S6" s="39" t="str">
        <f>IF(生徒データ!C72=0,"",生徒データ!C72)</f>
        <v/>
      </c>
      <c r="T6" s="39" t="str">
        <f>IF(生徒データ!C77=0,"",生徒データ!C77)</f>
        <v/>
      </c>
      <c r="U6" s="39" t="str">
        <f>IF(生徒データ!C82=0,"",生徒データ!C82)</f>
        <v/>
      </c>
      <c r="V6" s="39" t="str">
        <f>IF(生徒データ!C87=0,"",生徒データ!C87)</f>
        <v/>
      </c>
      <c r="W6" s="39" t="str">
        <f>IF(生徒データ!C92=0,"",生徒データ!C92)</f>
        <v/>
      </c>
      <c r="X6" s="39" t="str">
        <f>IF(生徒データ!C97=0,"",生徒データ!C97)</f>
        <v/>
      </c>
      <c r="Y6" s="39" t="str">
        <f>IF(生徒データ!C102=0,"",生徒データ!C102)</f>
        <v/>
      </c>
      <c r="Z6" s="39" t="str">
        <f>IF(生徒データ!C107=0,"",生徒データ!C107)</f>
        <v/>
      </c>
      <c r="AA6" s="39" t="str">
        <f>IF(生徒データ!C112=0,"",生徒データ!C112)</f>
        <v/>
      </c>
      <c r="AB6" s="39" t="str">
        <f>IF(生徒データ!C117=0,"",生徒データ!C117)</f>
        <v/>
      </c>
      <c r="AC6" s="39" t="str">
        <f>IF(生徒データ!C122=0,"",生徒データ!C122)</f>
        <v/>
      </c>
      <c r="AD6" s="39" t="str">
        <f>IF(生徒データ!C127=0,"",生徒データ!C127)</f>
        <v/>
      </c>
      <c r="AE6" s="39" t="str">
        <f>IF(生徒データ!C132=0,"",生徒データ!C132)</f>
        <v/>
      </c>
      <c r="AF6" s="40" t="str">
        <f>IF(生徒データ!C137=0,"",生徒データ!C137)</f>
        <v/>
      </c>
      <c r="AG6" s="32"/>
    </row>
    <row r="7" spans="1:33" ht="15" customHeight="1">
      <c r="A7" s="1"/>
      <c r="B7" s="61"/>
      <c r="C7" s="63"/>
      <c r="D7" s="25"/>
      <c r="E7" s="36" t="str">
        <f>IF(生徒データ!D2=0,"",生徒データ!D2)</f>
        <v/>
      </c>
      <c r="F7" s="36" t="str">
        <f>IF(生徒データ!D7=0,"",生徒データ!D7)</f>
        <v/>
      </c>
      <c r="G7" s="36" t="str">
        <f>IF(生徒データ!D12=0,"",生徒データ!D12)</f>
        <v/>
      </c>
      <c r="H7" s="36" t="str">
        <f>IF(生徒データ!D17=0,"",生徒データ!D17)</f>
        <v>相葉</v>
      </c>
      <c r="I7" s="36" t="str">
        <f>IF(生徒データ!D22=0,"",生徒データ!D22)</f>
        <v/>
      </c>
      <c r="J7" s="36" t="str">
        <f>IF(生徒データ!D27=0,"",生徒データ!D27)</f>
        <v/>
      </c>
      <c r="K7" s="36" t="str">
        <f>IF(生徒データ!D32=0,"",生徒データ!D32)</f>
        <v/>
      </c>
      <c r="L7" s="36" t="str">
        <f>IF(生徒データ!D37=0,"",生徒データ!D37)</f>
        <v/>
      </c>
      <c r="M7" s="36" t="str">
        <f>IF(生徒データ!D42=0,"",生徒データ!D42)</f>
        <v/>
      </c>
      <c r="N7" s="36" t="str">
        <f>IF(生徒データ!D47=0,"",生徒データ!D47)</f>
        <v/>
      </c>
      <c r="O7" s="36" t="str">
        <f>IF(生徒データ!D52=0,"",生徒データ!D52)</f>
        <v/>
      </c>
      <c r="P7" s="36" t="str">
        <f>IF(生徒データ!D57=0,"",生徒データ!D57)</f>
        <v>大野</v>
      </c>
      <c r="Q7" s="36" t="str">
        <f>IF(生徒データ!D62=0,"",生徒データ!D62)</f>
        <v/>
      </c>
      <c r="R7" s="36" t="str">
        <f>IF(生徒データ!D67=0,"",生徒データ!D67)</f>
        <v>相葉</v>
      </c>
      <c r="S7" s="36" t="str">
        <f>IF(生徒データ!D72=0,"",生徒データ!D72)</f>
        <v/>
      </c>
      <c r="T7" s="36" t="str">
        <f>IF(生徒データ!D77=0,"",生徒データ!D77)</f>
        <v/>
      </c>
      <c r="U7" s="36" t="str">
        <f>IF(生徒データ!D82=0,"",生徒データ!D82)</f>
        <v/>
      </c>
      <c r="V7" s="36" t="str">
        <f>IF(生徒データ!D87=0,"",生徒データ!D87)</f>
        <v/>
      </c>
      <c r="W7" s="36" t="str">
        <f>IF(生徒データ!D92=0,"",生徒データ!D92)</f>
        <v/>
      </c>
      <c r="X7" s="36" t="str">
        <f>IF(生徒データ!D97=0,"",生徒データ!D97)</f>
        <v/>
      </c>
      <c r="Y7" s="36" t="str">
        <f>IF(生徒データ!D102=0,"",生徒データ!D102)</f>
        <v/>
      </c>
      <c r="Z7" s="36" t="str">
        <f>IF(生徒データ!D107=0,"",生徒データ!D107)</f>
        <v/>
      </c>
      <c r="AA7" s="36" t="str">
        <f>IF(生徒データ!D112=0,"",生徒データ!D112)</f>
        <v/>
      </c>
      <c r="AB7" s="36" t="str">
        <f>IF(生徒データ!D117=0,"",生徒データ!D117)</f>
        <v/>
      </c>
      <c r="AC7" s="36" t="str">
        <f>IF(生徒データ!D122=0,"",生徒データ!D122)</f>
        <v/>
      </c>
      <c r="AD7" s="36" t="str">
        <f>IF(生徒データ!D127=0,"",生徒データ!D127)</f>
        <v/>
      </c>
      <c r="AE7" s="36" t="str">
        <f>IF(生徒データ!D132=0,"",生徒データ!D132)</f>
        <v/>
      </c>
      <c r="AF7" s="37" t="str">
        <f>IF(生徒データ!D137=0,"",生徒データ!D137)</f>
        <v/>
      </c>
    </row>
    <row r="8" spans="1:33" ht="25" customHeight="1">
      <c r="A8" s="1"/>
      <c r="B8" s="61" t="s">
        <v>14</v>
      </c>
      <c r="C8" s="62" t="str">
        <f>TEXT("15:00", "h:mm")</f>
        <v>15:00</v>
      </c>
      <c r="D8" s="41" t="s">
        <v>13</v>
      </c>
      <c r="E8" s="42" t="str">
        <f>IF(生徒データ!C3=0,"",生徒データ!C3)</f>
        <v/>
      </c>
      <c r="F8" s="42" t="str">
        <f>IF(生徒データ!C8=0,"",生徒データ!C8)</f>
        <v/>
      </c>
      <c r="G8" s="42" t="str">
        <f>IF(生徒データ!C13=0,"",生徒データ!C13)</f>
        <v/>
      </c>
      <c r="H8" s="42" t="str">
        <f>IF(生徒データ!C18=0,"",生徒データ!C18)</f>
        <v>数学</v>
      </c>
      <c r="I8" s="42" t="str">
        <f>IF(生徒データ!C23=0,"",生徒データ!C23)</f>
        <v>英語</v>
      </c>
      <c r="J8" s="42" t="str">
        <f>IF(生徒データ!C28=0,"",生徒データ!C28)</f>
        <v/>
      </c>
      <c r="K8" s="42" t="str">
        <f>IF(生徒データ!C33=0,"",生徒データ!C33)</f>
        <v/>
      </c>
      <c r="L8" s="42" t="str">
        <f>IF(生徒データ!C38=0,"",生徒データ!C38)</f>
        <v/>
      </c>
      <c r="M8" s="42" t="str">
        <f>IF(生徒データ!C43=0,"",生徒データ!C43)</f>
        <v/>
      </c>
      <c r="N8" s="42" t="str">
        <f>IF(生徒データ!C48=0,"",生徒データ!C48)</f>
        <v>国語</v>
      </c>
      <c r="O8" s="42" t="str">
        <f>IF(生徒データ!C53=0,"",生徒データ!C53)</f>
        <v/>
      </c>
      <c r="P8" s="42" t="str">
        <f>IF(生徒データ!C58=0,"",生徒データ!C58)</f>
        <v/>
      </c>
      <c r="Q8" s="42" t="str">
        <f>IF(生徒データ!C63=0,"",生徒データ!C63)</f>
        <v/>
      </c>
      <c r="R8" s="42" t="str">
        <f>IF(生徒データ!C68=0,"",生徒データ!C68)</f>
        <v>社会</v>
      </c>
      <c r="S8" s="42" t="str">
        <f>IF(生徒データ!C73=0,"",生徒データ!C73)</f>
        <v/>
      </c>
      <c r="T8" s="42" t="str">
        <f>IF(生徒データ!C78=0,"",生徒データ!C78)</f>
        <v/>
      </c>
      <c r="U8" s="42" t="str">
        <f>IF(生徒データ!C83=0,"",生徒データ!C83)</f>
        <v>英語</v>
      </c>
      <c r="V8" s="42" t="str">
        <f>IF(生徒データ!C88=0,"",生徒データ!C88)</f>
        <v/>
      </c>
      <c r="W8" s="42" t="str">
        <f>IF(生徒データ!C93=0,"",生徒データ!C93)</f>
        <v/>
      </c>
      <c r="X8" s="42" t="str">
        <f>IF(生徒データ!C98=0,"",生徒データ!C98)</f>
        <v/>
      </c>
      <c r="Y8" s="42" t="str">
        <f>IF(生徒データ!C103=0,"",生徒データ!C103)</f>
        <v/>
      </c>
      <c r="Z8" s="42" t="str">
        <f>IF(生徒データ!C108=0,"",生徒データ!C108)</f>
        <v/>
      </c>
      <c r="AA8" s="42" t="str">
        <f>IF(生徒データ!C113=0,"",生徒データ!C113)</f>
        <v/>
      </c>
      <c r="AB8" s="42" t="str">
        <f>IF(生徒データ!C118=0,"",生徒データ!C118)</f>
        <v/>
      </c>
      <c r="AC8" s="42" t="str">
        <f>IF(生徒データ!C123=0,"",生徒データ!C123)</f>
        <v/>
      </c>
      <c r="AD8" s="42" t="str">
        <f>IF(生徒データ!C128=0,"",生徒データ!C128)</f>
        <v/>
      </c>
      <c r="AE8" s="42" t="str">
        <f>IF(生徒データ!C133=0,"",生徒データ!C133)</f>
        <v/>
      </c>
      <c r="AF8" s="43" t="str">
        <f>IF(生徒データ!C138=0,"",生徒データ!C138)</f>
        <v/>
      </c>
    </row>
    <row r="9" spans="1:33" ht="15" customHeight="1">
      <c r="A9" s="1"/>
      <c r="B9" s="61"/>
      <c r="C9" s="63"/>
      <c r="D9" s="25"/>
      <c r="E9" s="36" t="str">
        <f>IF(生徒データ!D3=0,"",生徒データ!D3)</f>
        <v/>
      </c>
      <c r="F9" s="36" t="str">
        <f>IF(生徒データ!D8=0,"",生徒データ!D8)</f>
        <v/>
      </c>
      <c r="G9" s="36" t="str">
        <f>IF(生徒データ!D13=0,"",生徒データ!D13)</f>
        <v/>
      </c>
      <c r="H9" s="36" t="str">
        <f>IF(生徒データ!D18=0,"",生徒データ!D18)</f>
        <v>大野</v>
      </c>
      <c r="I9" s="36" t="str">
        <f>IF(生徒データ!D23=0,"",生徒データ!D23)</f>
        <v>松本</v>
      </c>
      <c r="J9" s="36" t="str">
        <f>IF(生徒データ!D28=0,"",生徒データ!D28)</f>
        <v/>
      </c>
      <c r="K9" s="36" t="str">
        <f>IF(生徒データ!D33=0,"",生徒データ!D33)</f>
        <v/>
      </c>
      <c r="L9" s="36" t="str">
        <f>IF(生徒データ!D38=0,"",生徒データ!D38)</f>
        <v/>
      </c>
      <c r="M9" s="36" t="str">
        <f>IF(生徒データ!D43=0,"",生徒データ!D43)</f>
        <v/>
      </c>
      <c r="N9" s="36" t="str">
        <f>IF(生徒データ!D48=0,"",生徒データ!D48)</f>
        <v>相葉</v>
      </c>
      <c r="O9" s="36" t="str">
        <f>IF(生徒データ!D53=0,"",生徒データ!D53)</f>
        <v/>
      </c>
      <c r="P9" s="36" t="str">
        <f>IF(生徒データ!D58=0,"",生徒データ!D58)</f>
        <v/>
      </c>
      <c r="Q9" s="36" t="str">
        <f>IF(生徒データ!D63=0,"",生徒データ!D63)</f>
        <v/>
      </c>
      <c r="R9" s="36" t="str">
        <f>IF(生徒データ!D68=0,"",生徒データ!D68)</f>
        <v>相葉</v>
      </c>
      <c r="S9" s="36" t="str">
        <f>IF(生徒データ!D73=0,"",生徒データ!D73)</f>
        <v/>
      </c>
      <c r="T9" s="36" t="str">
        <f>IF(生徒データ!D78=0,"",生徒データ!D78)</f>
        <v/>
      </c>
      <c r="U9" s="36" t="str">
        <f>IF(生徒データ!D83=0,"",生徒データ!D83)</f>
        <v>松本</v>
      </c>
      <c r="V9" s="36" t="str">
        <f>IF(生徒データ!D88=0,"",生徒データ!D88)</f>
        <v/>
      </c>
      <c r="W9" s="36" t="str">
        <f>IF(生徒データ!D93=0,"",生徒データ!D93)</f>
        <v/>
      </c>
      <c r="X9" s="36" t="str">
        <f>IF(生徒データ!D98=0,"",生徒データ!D98)</f>
        <v/>
      </c>
      <c r="Y9" s="36" t="str">
        <f>IF(生徒データ!D103=0,"",生徒データ!D103)</f>
        <v/>
      </c>
      <c r="Z9" s="36" t="str">
        <f>IF(生徒データ!D108=0,"",生徒データ!D108)</f>
        <v/>
      </c>
      <c r="AA9" s="36" t="str">
        <f>IF(生徒データ!D113=0,"",生徒データ!D113)</f>
        <v/>
      </c>
      <c r="AB9" s="36" t="str">
        <f>IF(生徒データ!D118=0,"",生徒データ!D118)</f>
        <v/>
      </c>
      <c r="AC9" s="36" t="str">
        <f>IF(生徒データ!D123=0,"",生徒データ!D123)</f>
        <v/>
      </c>
      <c r="AD9" s="36" t="str">
        <f>IF(生徒データ!D128=0,"",生徒データ!D128)</f>
        <v/>
      </c>
      <c r="AE9" s="36" t="str">
        <f>IF(生徒データ!D133=0,"",生徒データ!D133)</f>
        <v/>
      </c>
      <c r="AF9" s="37" t="str">
        <f>IF(生徒データ!D138=0,"",生徒データ!D138)</f>
        <v/>
      </c>
    </row>
    <row r="10" spans="1:33" ht="25" customHeight="1">
      <c r="A10" s="1"/>
      <c r="B10" s="61" t="s">
        <v>15</v>
      </c>
      <c r="C10" s="62" t="str">
        <f>TEXT("16:40", "h:mm")</f>
        <v>16:40</v>
      </c>
      <c r="D10" s="41" t="s">
        <v>13</v>
      </c>
      <c r="E10" s="42" t="str">
        <f>IF(生徒データ!C4=0,"",生徒データ!C4)</f>
        <v/>
      </c>
      <c r="F10" s="42" t="str">
        <f>IF(生徒データ!C9=0,"",生徒データ!C9)</f>
        <v/>
      </c>
      <c r="G10" s="42" t="str">
        <f>IF(生徒データ!C14=0,"",生徒データ!C14)</f>
        <v/>
      </c>
      <c r="H10" s="42" t="str">
        <f>IF(生徒データ!C19=0,"",生徒データ!C19)</f>
        <v>社会</v>
      </c>
      <c r="I10" s="42" t="str">
        <f>IF(生徒データ!C24=0,"",生徒データ!C24)</f>
        <v>理科</v>
      </c>
      <c r="J10" s="42" t="str">
        <f>IF(生徒データ!C29=0,"",生徒データ!C29)</f>
        <v/>
      </c>
      <c r="K10" s="42" t="str">
        <f>IF(生徒データ!C34=0,"",生徒データ!C34)</f>
        <v/>
      </c>
      <c r="L10" s="42" t="str">
        <f>IF(生徒データ!C39=0,"",生徒データ!C39)</f>
        <v/>
      </c>
      <c r="M10" s="42" t="str">
        <f>IF(生徒データ!C44=0,"",生徒データ!C44)</f>
        <v/>
      </c>
      <c r="N10" s="42" t="str">
        <f>IF(生徒データ!C49=0,"",生徒データ!C49)</f>
        <v>社会</v>
      </c>
      <c r="O10" s="42" t="str">
        <f>IF(生徒データ!C54=0,"",生徒データ!C54)</f>
        <v/>
      </c>
      <c r="P10" s="42" t="str">
        <f>IF(生徒データ!C59=0,"",生徒データ!C59)</f>
        <v>理科</v>
      </c>
      <c r="Q10" s="42" t="str">
        <f>IF(生徒データ!C64=0,"",生徒データ!C64)</f>
        <v/>
      </c>
      <c r="R10" s="42" t="str">
        <f>IF(生徒データ!C69=0,"",生徒データ!C69)</f>
        <v/>
      </c>
      <c r="S10" s="42" t="str">
        <f>IF(生徒データ!C74=0,"",生徒データ!C74)</f>
        <v/>
      </c>
      <c r="T10" s="42" t="str">
        <f>IF(生徒データ!C79=0,"",生徒データ!C79)</f>
        <v/>
      </c>
      <c r="U10" s="42" t="str">
        <f>IF(生徒データ!C84=0,"",生徒データ!C84)</f>
        <v>理科</v>
      </c>
      <c r="V10" s="42" t="str">
        <f>IF(生徒データ!C89=0,"",生徒データ!C89)</f>
        <v/>
      </c>
      <c r="W10" s="42" t="str">
        <f>IF(生徒データ!C94=0,"",生徒データ!C94)</f>
        <v/>
      </c>
      <c r="X10" s="42" t="str">
        <f>IF(生徒データ!C99=0,"",生徒データ!C99)</f>
        <v/>
      </c>
      <c r="Y10" s="42" t="str">
        <f>IF(生徒データ!C104=0,"",生徒データ!C104)</f>
        <v/>
      </c>
      <c r="Z10" s="42" t="str">
        <f>IF(生徒データ!C109=0,"",生徒データ!C109)</f>
        <v/>
      </c>
      <c r="AA10" s="42" t="str">
        <f>IF(生徒データ!C114=0,"",生徒データ!C114)</f>
        <v/>
      </c>
      <c r="AB10" s="42" t="str">
        <f>IF(生徒データ!C119=0,"",生徒データ!C119)</f>
        <v/>
      </c>
      <c r="AC10" s="42" t="str">
        <f>IF(生徒データ!C124=0,"",生徒データ!C124)</f>
        <v/>
      </c>
      <c r="AD10" s="42" t="str">
        <f>IF(生徒データ!C129=0,"",生徒データ!C129)</f>
        <v/>
      </c>
      <c r="AE10" s="42" t="str">
        <f>IF(生徒データ!C134=0,"",生徒データ!C134)</f>
        <v/>
      </c>
      <c r="AF10" s="43" t="str">
        <f>IF(生徒データ!C139=0,"",生徒データ!C139)</f>
        <v/>
      </c>
    </row>
    <row r="11" spans="1:33" ht="15" customHeight="1">
      <c r="A11" s="1"/>
      <c r="B11" s="61"/>
      <c r="C11" s="63"/>
      <c r="D11" s="25"/>
      <c r="E11" s="36" t="str">
        <f>IF(生徒データ!D4=0,"",生徒データ!D4)</f>
        <v/>
      </c>
      <c r="F11" s="36" t="str">
        <f>IF(生徒データ!D9=0,"",生徒データ!D9)</f>
        <v/>
      </c>
      <c r="G11" s="36" t="str">
        <f>IF(生徒データ!D14=0,"",生徒データ!D14)</f>
        <v/>
      </c>
      <c r="H11" s="36" t="str">
        <f>IF(生徒データ!D19=0,"",生徒データ!D19)</f>
        <v>相葉</v>
      </c>
      <c r="I11" s="36" t="str">
        <f>IF(生徒データ!D24=0,"",生徒データ!D24)</f>
        <v>松本</v>
      </c>
      <c r="J11" s="36" t="str">
        <f>IF(生徒データ!D29=0,"",生徒データ!D29)</f>
        <v/>
      </c>
      <c r="K11" s="36" t="str">
        <f>IF(生徒データ!D34=0,"",生徒データ!D34)</f>
        <v/>
      </c>
      <c r="L11" s="36" t="str">
        <f>IF(生徒データ!D39=0,"",生徒データ!D39)</f>
        <v/>
      </c>
      <c r="M11" s="36" t="str">
        <f>IF(生徒データ!D44=0,"",生徒データ!D44)</f>
        <v/>
      </c>
      <c r="N11" s="36" t="str">
        <f>IF(生徒データ!D49=0,"",生徒データ!D49)</f>
        <v>相葉</v>
      </c>
      <c r="O11" s="36" t="str">
        <f>IF(生徒データ!D54=0,"",生徒データ!D54)</f>
        <v/>
      </c>
      <c r="P11" s="36" t="str">
        <f>IF(生徒データ!D59=0,"",生徒データ!D59)</f>
        <v>松本</v>
      </c>
      <c r="Q11" s="36" t="str">
        <f>IF(生徒データ!D64=0,"",生徒データ!D64)</f>
        <v/>
      </c>
      <c r="R11" s="36" t="str">
        <f>IF(生徒データ!D69=0,"",生徒データ!D69)</f>
        <v/>
      </c>
      <c r="S11" s="36" t="str">
        <f>IF(生徒データ!D74=0,"",生徒データ!D74)</f>
        <v/>
      </c>
      <c r="T11" s="36" t="str">
        <f>IF(生徒データ!D79=0,"",生徒データ!D79)</f>
        <v/>
      </c>
      <c r="U11" s="36" t="str">
        <f>IF(生徒データ!D84=0,"",生徒データ!D84)</f>
        <v>松本</v>
      </c>
      <c r="V11" s="36" t="str">
        <f>IF(生徒データ!D89=0,"",生徒データ!D89)</f>
        <v/>
      </c>
      <c r="W11" s="36" t="str">
        <f>IF(生徒データ!D94=0,"",生徒データ!D94)</f>
        <v/>
      </c>
      <c r="X11" s="36" t="str">
        <f>IF(生徒データ!D99=0,"",生徒データ!D99)</f>
        <v/>
      </c>
      <c r="Y11" s="36" t="str">
        <f>IF(生徒データ!D104=0,"",生徒データ!D104)</f>
        <v/>
      </c>
      <c r="Z11" s="36" t="str">
        <f>IF(生徒データ!D109=0,"",生徒データ!D109)</f>
        <v/>
      </c>
      <c r="AA11" s="36" t="str">
        <f>IF(生徒データ!D114=0,"",生徒データ!D114)</f>
        <v/>
      </c>
      <c r="AB11" s="36" t="str">
        <f>IF(生徒データ!D119=0,"",生徒データ!D119)</f>
        <v/>
      </c>
      <c r="AC11" s="36" t="str">
        <f>IF(生徒データ!D124=0,"",生徒データ!D124)</f>
        <v/>
      </c>
      <c r="AD11" s="36" t="str">
        <f>IF(生徒データ!D129=0,"",生徒データ!D129)</f>
        <v/>
      </c>
      <c r="AE11" s="36" t="str">
        <f>IF(生徒データ!D134=0,"",生徒データ!D134)</f>
        <v/>
      </c>
      <c r="AF11" s="37" t="str">
        <f>IF(生徒データ!D139=0,"",生徒データ!D139)</f>
        <v/>
      </c>
    </row>
    <row r="12" spans="1:33" ht="25" customHeight="1">
      <c r="A12" s="1"/>
      <c r="B12" s="61" t="s">
        <v>16</v>
      </c>
      <c r="C12" s="62" t="str">
        <f>TEXT("18:20", "h:mm")</f>
        <v>18:20</v>
      </c>
      <c r="D12" s="41" t="s">
        <v>13</v>
      </c>
      <c r="E12" s="42" t="str">
        <f>IF(生徒データ!C5=0,"",生徒データ!C5)</f>
        <v/>
      </c>
      <c r="F12" s="42" t="str">
        <f>IF(生徒データ!C10=0,"",生徒データ!C10)</f>
        <v/>
      </c>
      <c r="G12" s="42" t="str">
        <f>IF(生徒データ!C15=0,"",生徒データ!C15)</f>
        <v/>
      </c>
      <c r="H12" s="42" t="str">
        <f>IF(生徒データ!C20=0,"",生徒データ!C20)</f>
        <v/>
      </c>
      <c r="I12" s="42" t="str">
        <f>IF(生徒データ!C25=0,"",生徒データ!C25)</f>
        <v/>
      </c>
      <c r="J12" s="42" t="str">
        <f>IF(生徒データ!C30=0,"",生徒データ!C30)</f>
        <v/>
      </c>
      <c r="K12" s="42" t="str">
        <f>IF(生徒データ!C35=0,"",生徒データ!C35)</f>
        <v/>
      </c>
      <c r="L12" s="42" t="str">
        <f>IF(生徒データ!C40=0,"",生徒データ!C40)</f>
        <v/>
      </c>
      <c r="M12" s="42" t="str">
        <f>IF(生徒データ!C45=0,"",生徒データ!C45)</f>
        <v/>
      </c>
      <c r="N12" s="42" t="str">
        <f>IF(生徒データ!C50=0,"",生徒データ!C50)</f>
        <v/>
      </c>
      <c r="O12" s="42" t="str">
        <f>IF(生徒データ!C55=0,"",生徒データ!C55)</f>
        <v>英語</v>
      </c>
      <c r="P12" s="42" t="str">
        <f>IF(生徒データ!C60=0,"",生徒データ!C60)</f>
        <v/>
      </c>
      <c r="Q12" s="42" t="str">
        <f>IF(生徒データ!C65=0,"",生徒データ!C65)</f>
        <v/>
      </c>
      <c r="R12" s="42" t="str">
        <f>IF(生徒データ!C70=0,"",生徒データ!C70)</f>
        <v/>
      </c>
      <c r="S12" s="42" t="str">
        <f>IF(生徒データ!C75=0,"",生徒データ!C75)</f>
        <v/>
      </c>
      <c r="T12" s="42" t="str">
        <f>IF(生徒データ!C80=0,"",生徒データ!C80)</f>
        <v/>
      </c>
      <c r="U12" s="42" t="str">
        <f>IF(生徒データ!C85=0,"",生徒データ!C85)</f>
        <v/>
      </c>
      <c r="V12" s="42" t="str">
        <f>IF(生徒データ!C90=0,"",生徒データ!C90)</f>
        <v/>
      </c>
      <c r="W12" s="42" t="str">
        <f>IF(生徒データ!C95=0,"",生徒データ!C95)</f>
        <v/>
      </c>
      <c r="X12" s="42" t="str">
        <f>IF(生徒データ!C100=0,"",生徒データ!C100)</f>
        <v/>
      </c>
      <c r="Y12" s="42" t="str">
        <f>IF(生徒データ!C105=0,"",生徒データ!C105)</f>
        <v/>
      </c>
      <c r="Z12" s="42" t="str">
        <f>IF(生徒データ!C110=0,"",生徒データ!C110)</f>
        <v/>
      </c>
      <c r="AA12" s="42" t="str">
        <f>IF(生徒データ!C115=0,"",生徒データ!C115)</f>
        <v/>
      </c>
      <c r="AB12" s="42" t="str">
        <f>IF(生徒データ!C120=0,"",生徒データ!C120)</f>
        <v/>
      </c>
      <c r="AC12" s="42" t="str">
        <f>IF(生徒データ!C125=0,"",生徒データ!C125)</f>
        <v/>
      </c>
      <c r="AD12" s="42" t="str">
        <f>IF(生徒データ!C130=0,"",生徒データ!C130)</f>
        <v/>
      </c>
      <c r="AE12" s="42" t="str">
        <f>IF(生徒データ!C135=0,"",生徒データ!C135)</f>
        <v/>
      </c>
      <c r="AF12" s="43" t="str">
        <f>IF(生徒データ!C140=0,"",生徒データ!C140)</f>
        <v/>
      </c>
    </row>
    <row r="13" spans="1:33" ht="15" customHeight="1">
      <c r="A13" s="1"/>
      <c r="B13" s="61"/>
      <c r="C13" s="63"/>
      <c r="D13" s="25"/>
      <c r="E13" s="36" t="str">
        <f>IF(生徒データ!D5=0,"",生徒データ!D5)</f>
        <v/>
      </c>
      <c r="F13" s="36" t="str">
        <f>IF(生徒データ!D10=0,"",生徒データ!D10)</f>
        <v/>
      </c>
      <c r="G13" s="36" t="str">
        <f>IF(生徒データ!D15=0,"",生徒データ!D15)</f>
        <v/>
      </c>
      <c r="H13" s="36" t="str">
        <f>IF(生徒データ!D20=0,"",生徒データ!D20)</f>
        <v/>
      </c>
      <c r="I13" s="36" t="str">
        <f>IF(生徒データ!D25=0,"",生徒データ!D25)</f>
        <v/>
      </c>
      <c r="J13" s="36" t="str">
        <f>IF(生徒データ!D30=0,"",生徒データ!D30)</f>
        <v/>
      </c>
      <c r="K13" s="36" t="str">
        <f>IF(生徒データ!D35=0,"",生徒データ!D35)</f>
        <v/>
      </c>
      <c r="L13" s="36" t="str">
        <f>IF(生徒データ!D40=0,"",生徒データ!D40)</f>
        <v/>
      </c>
      <c r="M13" s="36" t="str">
        <f>IF(生徒データ!D45=0,"",生徒データ!D45)</f>
        <v/>
      </c>
      <c r="N13" s="36" t="str">
        <f>IF(生徒データ!D50=0,"",生徒データ!D50)</f>
        <v/>
      </c>
      <c r="O13" s="36" t="str">
        <f>IF(生徒データ!D55=0,"",生徒データ!D55)</f>
        <v>松本</v>
      </c>
      <c r="P13" s="36" t="str">
        <f>IF(生徒データ!D60=0,"",生徒データ!D60)</f>
        <v/>
      </c>
      <c r="Q13" s="36" t="str">
        <f>IF(生徒データ!D65=0,"",生徒データ!D65)</f>
        <v/>
      </c>
      <c r="R13" s="36" t="str">
        <f>IF(生徒データ!D70=0,"",生徒データ!D70)</f>
        <v/>
      </c>
      <c r="S13" s="36" t="str">
        <f>IF(生徒データ!D75=0,"",生徒データ!D75)</f>
        <v/>
      </c>
      <c r="T13" s="36" t="str">
        <f>IF(生徒データ!D80=0,"",生徒データ!D80)</f>
        <v/>
      </c>
      <c r="U13" s="36" t="str">
        <f>IF(生徒データ!D85=0,"",生徒データ!D85)</f>
        <v/>
      </c>
      <c r="V13" s="36" t="str">
        <f>IF(生徒データ!D90=0,"",生徒データ!D90)</f>
        <v/>
      </c>
      <c r="W13" s="36" t="str">
        <f>IF(生徒データ!D95=0,"",生徒データ!D95)</f>
        <v/>
      </c>
      <c r="X13" s="36" t="str">
        <f>IF(生徒データ!D100=0,"",生徒データ!D100)</f>
        <v/>
      </c>
      <c r="Y13" s="36" t="str">
        <f>IF(生徒データ!D105=0,"",生徒データ!D105)</f>
        <v/>
      </c>
      <c r="Z13" s="36" t="str">
        <f>IF(生徒データ!D110=0,"",生徒データ!D110)</f>
        <v/>
      </c>
      <c r="AA13" s="36" t="str">
        <f>IF(生徒データ!D115=0,"",生徒データ!D115)</f>
        <v/>
      </c>
      <c r="AB13" s="36" t="str">
        <f>IF(生徒データ!D120=0,"",生徒データ!D120)</f>
        <v/>
      </c>
      <c r="AC13" s="36" t="str">
        <f>IF(生徒データ!D125=0,"",生徒データ!D125)</f>
        <v/>
      </c>
      <c r="AD13" s="36" t="str">
        <f>IF(生徒データ!D130=0,"",生徒データ!D130)</f>
        <v/>
      </c>
      <c r="AE13" s="36" t="str">
        <f>IF(生徒データ!D135=0,"",生徒データ!D135)</f>
        <v/>
      </c>
      <c r="AF13" s="37" t="str">
        <f>IF(生徒データ!D140=0,"",生徒データ!D140)</f>
        <v/>
      </c>
    </row>
    <row r="14" spans="1:33" ht="25" customHeight="1">
      <c r="A14" s="1"/>
      <c r="B14" s="61" t="s">
        <v>17</v>
      </c>
      <c r="C14" s="62" t="str">
        <f>TEXT("20:00", "h:mm")</f>
        <v>20:00</v>
      </c>
      <c r="D14" s="41" t="s">
        <v>13</v>
      </c>
      <c r="E14" s="42" t="str">
        <f>IF(生徒データ!C6=0,"",生徒データ!C6)</f>
        <v/>
      </c>
      <c r="F14" s="42" t="str">
        <f>IF(生徒データ!C11=0,"",生徒データ!C11)</f>
        <v/>
      </c>
      <c r="G14" s="42" t="str">
        <f>IF(生徒データ!C16=0,"",生徒データ!C16)</f>
        <v/>
      </c>
      <c r="H14" s="42" t="str">
        <f>IF(生徒データ!C21=0,"",生徒データ!C21)</f>
        <v/>
      </c>
      <c r="I14" s="42" t="str">
        <f>IF(生徒データ!C26=0,"",生徒データ!C26)</f>
        <v/>
      </c>
      <c r="J14" s="42" t="str">
        <f>IF(生徒データ!C31=0,"",生徒データ!C31)</f>
        <v/>
      </c>
      <c r="K14" s="42" t="str">
        <f>IF(生徒データ!C36=0,"",生徒データ!C36)</f>
        <v/>
      </c>
      <c r="L14" s="42" t="str">
        <f>IF(生徒データ!C41=0,"",生徒データ!C41)</f>
        <v>数学</v>
      </c>
      <c r="M14" s="42" t="str">
        <f>IF(生徒データ!C46=0,"",生徒データ!C46)</f>
        <v/>
      </c>
      <c r="N14" s="42" t="str">
        <f>IF(生徒データ!C51=0,"",生徒データ!C51)</f>
        <v/>
      </c>
      <c r="O14" s="42" t="str">
        <f>IF(生徒データ!C56=0,"",生徒データ!C56)</f>
        <v/>
      </c>
      <c r="P14" s="42" t="str">
        <f>IF(生徒データ!C61=0,"",生徒データ!C61)</f>
        <v/>
      </c>
      <c r="Q14" s="42" t="str">
        <f>IF(生徒データ!C66=0,"",生徒データ!C66)</f>
        <v/>
      </c>
      <c r="R14" s="42" t="str">
        <f>IF(生徒データ!C71=0,"",生徒データ!C71)</f>
        <v/>
      </c>
      <c r="S14" s="42" t="str">
        <f>IF(生徒データ!C76=0,"",生徒データ!C76)</f>
        <v/>
      </c>
      <c r="T14" s="42" t="str">
        <f>IF(生徒データ!C81=0,"",生徒データ!C81)</f>
        <v/>
      </c>
      <c r="U14" s="42" t="str">
        <f>IF(生徒データ!C86=0,"",生徒データ!C86)</f>
        <v/>
      </c>
      <c r="V14" s="42" t="str">
        <f>IF(生徒データ!C91=0,"",生徒データ!C91)</f>
        <v/>
      </c>
      <c r="W14" s="42" t="str">
        <f>IF(生徒データ!C96=0,"",生徒データ!C96)</f>
        <v/>
      </c>
      <c r="X14" s="42" t="str">
        <f>IF(生徒データ!C101=0,"",生徒データ!C101)</f>
        <v/>
      </c>
      <c r="Y14" s="42" t="str">
        <f>IF(生徒データ!C106=0,"",生徒データ!C106)</f>
        <v/>
      </c>
      <c r="Z14" s="42" t="str">
        <f>IF(生徒データ!C111=0,"",生徒データ!C111)</f>
        <v/>
      </c>
      <c r="AA14" s="42" t="str">
        <f>IF(生徒データ!C116=0,"",生徒データ!C116)</f>
        <v/>
      </c>
      <c r="AB14" s="42" t="str">
        <f>IF(生徒データ!C121=0,"",生徒データ!C121)</f>
        <v/>
      </c>
      <c r="AC14" s="42" t="str">
        <f>IF(生徒データ!C126=0,"",生徒データ!C126)</f>
        <v/>
      </c>
      <c r="AD14" s="42" t="str">
        <f>IF(生徒データ!C131=0,"",生徒データ!C131)</f>
        <v/>
      </c>
      <c r="AE14" s="42" t="str">
        <f>IF(生徒データ!C136=0,"",生徒データ!C136)</f>
        <v/>
      </c>
      <c r="AF14" s="43" t="str">
        <f>IF(生徒データ!C141=0,"",生徒データ!C141)</f>
        <v/>
      </c>
    </row>
    <row r="15" spans="1:33" ht="15" customHeight="1" thickBot="1">
      <c r="A15" s="1"/>
      <c r="B15" s="65"/>
      <c r="C15" s="63"/>
      <c r="D15" s="44"/>
      <c r="E15" s="45" t="str">
        <f>IF(生徒データ!D6=0,"",生徒データ!D6)</f>
        <v/>
      </c>
      <c r="F15" s="45" t="str">
        <f>IF(生徒データ!D11=0,"",生徒データ!D11)</f>
        <v/>
      </c>
      <c r="G15" s="45" t="str">
        <f>IF(生徒データ!D16=0,"",生徒データ!D16)</f>
        <v/>
      </c>
      <c r="H15" s="45" t="str">
        <f>IF(生徒データ!D21=0,"",生徒データ!D21)</f>
        <v/>
      </c>
      <c r="I15" s="45" t="str">
        <f>IF(生徒データ!D26=0,"",生徒データ!D26)</f>
        <v/>
      </c>
      <c r="J15" s="45" t="str">
        <f>IF(生徒データ!D31=0,"",生徒データ!D31)</f>
        <v/>
      </c>
      <c r="K15" s="45" t="str">
        <f>IF(生徒データ!D36=0,"",生徒データ!D36)</f>
        <v/>
      </c>
      <c r="L15" s="45" t="str">
        <f>IF(生徒データ!D41=0,"",生徒データ!D41)</f>
        <v>大野</v>
      </c>
      <c r="M15" s="45" t="str">
        <f>IF(生徒データ!D46=0,"",生徒データ!D46)</f>
        <v/>
      </c>
      <c r="N15" s="45" t="str">
        <f>IF(生徒データ!D51=0,"",生徒データ!D51)</f>
        <v/>
      </c>
      <c r="O15" s="45" t="str">
        <f>IF(生徒データ!D56=0,"",生徒データ!D56)</f>
        <v/>
      </c>
      <c r="P15" s="45" t="str">
        <f>IF(生徒データ!D61=0,"",生徒データ!D61)</f>
        <v/>
      </c>
      <c r="Q15" s="45" t="str">
        <f>IF(生徒データ!D66=0,"",生徒データ!D66)</f>
        <v/>
      </c>
      <c r="R15" s="45" t="str">
        <f>IF(生徒データ!D71=0,"",生徒データ!D71)</f>
        <v/>
      </c>
      <c r="S15" s="45" t="str">
        <f>IF(生徒データ!D76=0,"",生徒データ!D76)</f>
        <v/>
      </c>
      <c r="T15" s="45" t="str">
        <f>IF(生徒データ!D81=0,"",生徒データ!D81)</f>
        <v/>
      </c>
      <c r="U15" s="45" t="str">
        <f>IF(生徒データ!D86=0,"",生徒データ!D86)</f>
        <v/>
      </c>
      <c r="V15" s="45" t="str">
        <f>IF(生徒データ!D91=0,"",生徒データ!D91)</f>
        <v/>
      </c>
      <c r="W15" s="45" t="str">
        <f>IF(生徒データ!D96=0,"",生徒データ!D96)</f>
        <v/>
      </c>
      <c r="X15" s="45" t="str">
        <f>IF(生徒データ!D101=0,"",生徒データ!D101)</f>
        <v/>
      </c>
      <c r="Y15" s="45" t="str">
        <f>IF(生徒データ!D106=0,"",生徒データ!D106)</f>
        <v/>
      </c>
      <c r="Z15" s="45" t="str">
        <f>IF(生徒データ!D111=0,"",生徒データ!D111)</f>
        <v/>
      </c>
      <c r="AA15" s="45" t="str">
        <f>IF(生徒データ!D116=0,"",生徒データ!D116)</f>
        <v/>
      </c>
      <c r="AB15" s="45" t="str">
        <f>IF(生徒データ!D121=0,"",生徒データ!D121)</f>
        <v/>
      </c>
      <c r="AC15" s="45" t="str">
        <f>IF(生徒データ!D126=0,"",生徒データ!D126)</f>
        <v/>
      </c>
      <c r="AD15" s="45" t="str">
        <f>IF(生徒データ!D131=0,"",生徒データ!D131)</f>
        <v/>
      </c>
      <c r="AE15" s="45" t="str">
        <f>IF(生徒データ!D136=0,"",生徒データ!D136)</f>
        <v/>
      </c>
      <c r="AF15" s="46" t="str">
        <f>IF(生徒データ!D141=0,"",生徒データ!D141)</f>
        <v/>
      </c>
    </row>
    <row r="16" spans="1:33" ht="20" customHeight="1" thickTop="1">
      <c r="A16" s="1"/>
      <c r="B16" s="70" t="s">
        <v>2</v>
      </c>
      <c r="C16" s="66" t="s">
        <v>32</v>
      </c>
      <c r="D16" s="23" t="s">
        <v>3</v>
      </c>
      <c r="E16" s="56">
        <f>AF4+1</f>
        <v>45166</v>
      </c>
      <c r="F16" s="56">
        <f t="shared" ref="F16:K16" si="1">E16+1</f>
        <v>45167</v>
      </c>
      <c r="G16" s="56">
        <f t="shared" si="1"/>
        <v>45168</v>
      </c>
      <c r="H16" s="56">
        <f t="shared" si="1"/>
        <v>45169</v>
      </c>
      <c r="I16" s="56">
        <f t="shared" si="1"/>
        <v>45170</v>
      </c>
      <c r="J16" s="56">
        <f t="shared" si="1"/>
        <v>45171</v>
      </c>
      <c r="K16" s="56">
        <f t="shared" si="1"/>
        <v>45172</v>
      </c>
      <c r="L16" s="56">
        <f t="shared" ref="L16:AF16" si="2">K16+1</f>
        <v>45173</v>
      </c>
      <c r="M16" s="56">
        <f t="shared" si="2"/>
        <v>45174</v>
      </c>
      <c r="N16" s="56">
        <f t="shared" si="2"/>
        <v>45175</v>
      </c>
      <c r="O16" s="56">
        <f t="shared" si="2"/>
        <v>45176</v>
      </c>
      <c r="P16" s="56">
        <f t="shared" si="2"/>
        <v>45177</v>
      </c>
      <c r="Q16" s="56">
        <f t="shared" si="2"/>
        <v>45178</v>
      </c>
      <c r="R16" s="56">
        <f t="shared" si="2"/>
        <v>45179</v>
      </c>
      <c r="S16" s="56">
        <f t="shared" si="2"/>
        <v>45180</v>
      </c>
      <c r="T16" s="56">
        <f t="shared" si="2"/>
        <v>45181</v>
      </c>
      <c r="U16" s="56">
        <f t="shared" si="2"/>
        <v>45182</v>
      </c>
      <c r="V16" s="56">
        <f t="shared" si="2"/>
        <v>45183</v>
      </c>
      <c r="W16" s="56">
        <f t="shared" si="2"/>
        <v>45184</v>
      </c>
      <c r="X16" s="56">
        <f t="shared" si="2"/>
        <v>45185</v>
      </c>
      <c r="Y16" s="56">
        <f t="shared" si="2"/>
        <v>45186</v>
      </c>
      <c r="Z16" s="56">
        <f t="shared" si="2"/>
        <v>45187</v>
      </c>
      <c r="AA16" s="56">
        <f t="shared" si="2"/>
        <v>45188</v>
      </c>
      <c r="AB16" s="56">
        <f t="shared" si="2"/>
        <v>45189</v>
      </c>
      <c r="AC16" s="56">
        <f t="shared" si="2"/>
        <v>45190</v>
      </c>
      <c r="AD16" s="56">
        <f t="shared" si="2"/>
        <v>45191</v>
      </c>
      <c r="AE16" s="56">
        <f t="shared" si="2"/>
        <v>45192</v>
      </c>
      <c r="AF16" s="58">
        <f t="shared" si="2"/>
        <v>45193</v>
      </c>
    </row>
    <row r="17" spans="2:32" ht="20" customHeight="1" thickBot="1">
      <c r="B17" s="71"/>
      <c r="C17" s="67"/>
      <c r="D17" s="24" t="s">
        <v>4</v>
      </c>
      <c r="E17" s="26" t="s">
        <v>5</v>
      </c>
      <c r="F17" s="26" t="s">
        <v>6</v>
      </c>
      <c r="G17" s="26" t="s">
        <v>7</v>
      </c>
      <c r="H17" s="26" t="s">
        <v>8</v>
      </c>
      <c r="I17" s="26" t="s">
        <v>9</v>
      </c>
      <c r="J17" s="26" t="s">
        <v>10</v>
      </c>
      <c r="K17" s="26" t="s">
        <v>11</v>
      </c>
      <c r="L17" s="26" t="s">
        <v>5</v>
      </c>
      <c r="M17" s="26" t="s">
        <v>6</v>
      </c>
      <c r="N17" s="26" t="s">
        <v>7</v>
      </c>
      <c r="O17" s="26" t="s">
        <v>8</v>
      </c>
      <c r="P17" s="26" t="s">
        <v>9</v>
      </c>
      <c r="Q17" s="26" t="s">
        <v>10</v>
      </c>
      <c r="R17" s="26" t="s">
        <v>11</v>
      </c>
      <c r="S17" s="26" t="s">
        <v>5</v>
      </c>
      <c r="T17" s="26" t="s">
        <v>6</v>
      </c>
      <c r="U17" s="26" t="s">
        <v>7</v>
      </c>
      <c r="V17" s="26" t="s">
        <v>8</v>
      </c>
      <c r="W17" s="26" t="s">
        <v>9</v>
      </c>
      <c r="X17" s="26" t="s">
        <v>10</v>
      </c>
      <c r="Y17" s="26" t="s">
        <v>11</v>
      </c>
      <c r="Z17" s="26" t="s">
        <v>5</v>
      </c>
      <c r="AA17" s="26" t="s">
        <v>6</v>
      </c>
      <c r="AB17" s="26" t="s">
        <v>7</v>
      </c>
      <c r="AC17" s="26" t="s">
        <v>8</v>
      </c>
      <c r="AD17" s="26" t="s">
        <v>9</v>
      </c>
      <c r="AE17" s="26" t="s">
        <v>10</v>
      </c>
      <c r="AF17" s="27" t="s">
        <v>11</v>
      </c>
    </row>
    <row r="18" spans="2:32" ht="25" customHeight="1" thickTop="1">
      <c r="B18" s="60" t="s">
        <v>12</v>
      </c>
      <c r="C18" s="62" t="str">
        <f>TEXT("13:20", "h:mm")</f>
        <v>13:20</v>
      </c>
      <c r="D18" s="38" t="s">
        <v>13</v>
      </c>
      <c r="E18" s="47" t="str">
        <f>IF(生徒データ!C142=0,"",生徒データ!C142)</f>
        <v/>
      </c>
      <c r="F18" s="47" t="str">
        <f>IF(生徒データ!C147=0,"",生徒データ!C147)</f>
        <v/>
      </c>
      <c r="G18" s="47" t="str">
        <f>IF(生徒データ!C152=0,"",生徒データ!C152)</f>
        <v/>
      </c>
      <c r="H18" s="47" t="str">
        <f>IF(生徒データ!C157=0,"",生徒データ!C157)</f>
        <v/>
      </c>
      <c r="I18" s="47" t="str">
        <f>IF(生徒データ!C162=0,"",生徒データ!C162)</f>
        <v/>
      </c>
      <c r="J18" s="47" t="str">
        <f>IF(生徒データ!C167=0,"",生徒データ!C167)</f>
        <v/>
      </c>
      <c r="K18" s="47" t="str">
        <f>IF(生徒データ!C172=0,"",生徒データ!C172)</f>
        <v/>
      </c>
      <c r="L18" s="47" t="str">
        <f>IF(生徒データ!C177=0,"",生徒データ!C177)</f>
        <v/>
      </c>
      <c r="M18" s="47" t="str">
        <f>IF(生徒データ!C182=0,"",生徒データ!C182)</f>
        <v/>
      </c>
      <c r="N18" s="47" t="str">
        <f>IF(生徒データ!C187=0,"",生徒データ!C187)</f>
        <v/>
      </c>
      <c r="O18" s="47" t="str">
        <f>IF(生徒データ!C192=0,"",生徒データ!C192)</f>
        <v/>
      </c>
      <c r="P18" s="47" t="str">
        <f>IF(生徒データ!C197=0,"",生徒データ!C197)</f>
        <v/>
      </c>
      <c r="Q18" s="47" t="str">
        <f>IF(生徒データ!C202=0,"",生徒データ!C202)</f>
        <v/>
      </c>
      <c r="R18" s="47" t="str">
        <f>IF(生徒データ!C207=0,"",生徒データ!C207)</f>
        <v/>
      </c>
      <c r="S18" s="47" t="str">
        <f>IF(生徒データ!C212=0,"",生徒データ!C212)</f>
        <v/>
      </c>
      <c r="T18" s="47" t="str">
        <f>IF(生徒データ!C217=0,"",生徒データ!C217)</f>
        <v/>
      </c>
      <c r="U18" s="47" t="str">
        <f>IF(生徒データ!C222=0,"",生徒データ!C222)</f>
        <v/>
      </c>
      <c r="V18" s="47" t="str">
        <f>IF(生徒データ!C227=0,"",生徒データ!C227)</f>
        <v/>
      </c>
      <c r="W18" s="47" t="str">
        <f>IF(生徒データ!C232=0,"",生徒データ!C232)</f>
        <v/>
      </c>
      <c r="X18" s="47" t="str">
        <f>IF(生徒データ!C237=0,"",生徒データ!C237)</f>
        <v/>
      </c>
      <c r="Y18" s="47" t="str">
        <f>IF(生徒データ!C242=0,"",生徒データ!C242)</f>
        <v/>
      </c>
      <c r="Z18" s="47" t="str">
        <f>IF(生徒データ!C247=0,"",生徒データ!C247)</f>
        <v/>
      </c>
      <c r="AA18" s="47" t="str">
        <f>IF(生徒データ!C252=0,"",生徒データ!C252)</f>
        <v/>
      </c>
      <c r="AB18" s="47" t="str">
        <f>IF(生徒データ!C257=0,"",生徒データ!C257)</f>
        <v/>
      </c>
      <c r="AC18" s="47" t="str">
        <f>IF(生徒データ!C262=0,"",生徒データ!C262)</f>
        <v/>
      </c>
      <c r="AD18" s="47" t="str">
        <f>IF(生徒データ!C267=0,"",生徒データ!C267)</f>
        <v/>
      </c>
      <c r="AE18" s="47" t="str">
        <f>IF(生徒データ!C272=0,"",生徒データ!C272)</f>
        <v/>
      </c>
      <c r="AF18" s="48" t="str">
        <f>IF(生徒データ!C277=0,"",生徒データ!C277)</f>
        <v/>
      </c>
    </row>
    <row r="19" spans="2:32" ht="15" customHeight="1">
      <c r="B19" s="61"/>
      <c r="C19" s="63"/>
      <c r="D19" s="25"/>
      <c r="E19" s="33" t="str">
        <f>IF(生徒データ!D142=0,"",生徒データ!D142)</f>
        <v/>
      </c>
      <c r="F19" s="33" t="str">
        <f>IF(生徒データ!D147=0,"",生徒データ!D147)</f>
        <v/>
      </c>
      <c r="G19" s="33" t="str">
        <f>IF(生徒データ!D152=0,"",生徒データ!D152)</f>
        <v/>
      </c>
      <c r="H19" s="33" t="str">
        <f>IF(生徒データ!D157=0,"",生徒データ!D157)</f>
        <v/>
      </c>
      <c r="I19" s="33" t="str">
        <f>IF(生徒データ!D162=0,"",生徒データ!D162)</f>
        <v/>
      </c>
      <c r="J19" s="33" t="str">
        <f>IF(生徒データ!D167=0,"",生徒データ!D167)</f>
        <v/>
      </c>
      <c r="K19" s="33" t="str">
        <f>IF(生徒データ!D172=0,"",生徒データ!D172)</f>
        <v/>
      </c>
      <c r="L19" s="33" t="str">
        <f>IF(生徒データ!D177=0,"",生徒データ!D177)</f>
        <v/>
      </c>
      <c r="M19" s="33" t="str">
        <f>IF(生徒データ!D182=0,"",生徒データ!D182)</f>
        <v/>
      </c>
      <c r="N19" s="33" t="str">
        <f>IF(生徒データ!D187=0,"",生徒データ!D187)</f>
        <v/>
      </c>
      <c r="O19" s="33" t="str">
        <f>IF(生徒データ!D192=0,"",生徒データ!D192)</f>
        <v/>
      </c>
      <c r="P19" s="33" t="str">
        <f>IF(生徒データ!D197=0,"",生徒データ!D197)</f>
        <v/>
      </c>
      <c r="Q19" s="33" t="str">
        <f>IF(生徒データ!D202=0,"",生徒データ!D202)</f>
        <v/>
      </c>
      <c r="R19" s="33" t="str">
        <f>IF(生徒データ!D207=0,"",生徒データ!D207)</f>
        <v/>
      </c>
      <c r="S19" s="33" t="str">
        <f>IF(生徒データ!D212=0,"",生徒データ!D212)</f>
        <v/>
      </c>
      <c r="T19" s="33" t="str">
        <f>IF(生徒データ!D217=0,"",生徒データ!D217)</f>
        <v/>
      </c>
      <c r="U19" s="33" t="str">
        <f>IF(生徒データ!D222=0,"",生徒データ!D222)</f>
        <v/>
      </c>
      <c r="V19" s="33" t="str">
        <f>IF(生徒データ!D227=0,"",生徒データ!D227)</f>
        <v/>
      </c>
      <c r="W19" s="33" t="str">
        <f>IF(生徒データ!D232=0,"",生徒データ!D232)</f>
        <v/>
      </c>
      <c r="X19" s="33" t="str">
        <f>IF(生徒データ!D237=0,"",生徒データ!D237)</f>
        <v/>
      </c>
      <c r="Y19" s="33" t="str">
        <f>IF(生徒データ!D242=0,"",生徒データ!D242)</f>
        <v/>
      </c>
      <c r="Z19" s="33" t="str">
        <f>IF(生徒データ!D247=0,"",生徒データ!D247)</f>
        <v/>
      </c>
      <c r="AA19" s="33" t="str">
        <f>IF(生徒データ!D252=0,"",生徒データ!D252)</f>
        <v/>
      </c>
      <c r="AB19" s="33" t="str">
        <f>IF(生徒データ!D257=0,"",生徒データ!D257)</f>
        <v/>
      </c>
      <c r="AC19" s="33" t="str">
        <f>IF(生徒データ!D262=0,"",生徒データ!D262)</f>
        <v/>
      </c>
      <c r="AD19" s="33" t="str">
        <f>IF(生徒データ!D267=0,"",生徒データ!D267)</f>
        <v/>
      </c>
      <c r="AE19" s="33" t="str">
        <f>IF(生徒データ!D272=0,"",生徒データ!D272)</f>
        <v/>
      </c>
      <c r="AF19" s="34" t="str">
        <f>IF(生徒データ!D277=0,"",生徒データ!D277)</f>
        <v/>
      </c>
    </row>
    <row r="20" spans="2:32" ht="25" customHeight="1">
      <c r="B20" s="61" t="s">
        <v>14</v>
      </c>
      <c r="C20" s="62" t="str">
        <f>TEXT("15:00", "h:mm")</f>
        <v>15:00</v>
      </c>
      <c r="D20" s="41" t="s">
        <v>13</v>
      </c>
      <c r="E20" s="49" t="str">
        <f>IF(生徒データ!C143=0,"",生徒データ!C143)</f>
        <v/>
      </c>
      <c r="F20" s="49" t="str">
        <f>IF(生徒データ!C148=0,"",生徒データ!C148)</f>
        <v/>
      </c>
      <c r="G20" s="49" t="str">
        <f>IF(生徒データ!C153=0,"",生徒データ!C153)</f>
        <v/>
      </c>
      <c r="H20" s="49" t="str">
        <f>IF(生徒データ!C158=0,"",生徒データ!C158)</f>
        <v/>
      </c>
      <c r="I20" s="49" t="str">
        <f>IF(生徒データ!C163=0,"",生徒データ!C163)</f>
        <v/>
      </c>
      <c r="J20" s="49" t="str">
        <f>IF(生徒データ!C168=0,"",生徒データ!C168)</f>
        <v/>
      </c>
      <c r="K20" s="49" t="str">
        <f>IF(生徒データ!C173=0,"",生徒データ!C173)</f>
        <v/>
      </c>
      <c r="L20" s="49" t="str">
        <f>IF(生徒データ!C178=0,"",生徒データ!C178)</f>
        <v/>
      </c>
      <c r="M20" s="49" t="str">
        <f>IF(生徒データ!C183=0,"",生徒データ!C183)</f>
        <v/>
      </c>
      <c r="N20" s="49" t="str">
        <f>IF(生徒データ!C188=0,"",生徒データ!C188)</f>
        <v/>
      </c>
      <c r="O20" s="49" t="str">
        <f>IF(生徒データ!C193=0,"",生徒データ!C193)</f>
        <v/>
      </c>
      <c r="P20" s="49" t="str">
        <f>IF(生徒データ!C198=0,"",生徒データ!C198)</f>
        <v/>
      </c>
      <c r="Q20" s="49" t="str">
        <f>IF(生徒データ!C203=0,"",生徒データ!C203)</f>
        <v/>
      </c>
      <c r="R20" s="49" t="str">
        <f>IF(生徒データ!C208=0,"",生徒データ!C208)</f>
        <v/>
      </c>
      <c r="S20" s="49" t="str">
        <f>IF(生徒データ!C213=0,"",生徒データ!C213)</f>
        <v/>
      </c>
      <c r="T20" s="49" t="str">
        <f>IF(生徒データ!C218=0,"",生徒データ!C218)</f>
        <v/>
      </c>
      <c r="U20" s="49" t="str">
        <f>IF(生徒データ!C223=0,"",生徒データ!C223)</f>
        <v/>
      </c>
      <c r="V20" s="49" t="str">
        <f>IF(生徒データ!C228=0,"",生徒データ!C228)</f>
        <v/>
      </c>
      <c r="W20" s="49" t="str">
        <f>IF(生徒データ!C233=0,"",生徒データ!C233)</f>
        <v/>
      </c>
      <c r="X20" s="49" t="str">
        <f>IF(生徒データ!C238=0,"",生徒データ!C238)</f>
        <v/>
      </c>
      <c r="Y20" s="49" t="str">
        <f>IF(生徒データ!C243=0,"",生徒データ!C243)</f>
        <v/>
      </c>
      <c r="Z20" s="49" t="str">
        <f>IF(生徒データ!C248=0,"",生徒データ!C248)</f>
        <v/>
      </c>
      <c r="AA20" s="49" t="str">
        <f>IF(生徒データ!C253=0,"",生徒データ!C253)</f>
        <v/>
      </c>
      <c r="AB20" s="49" t="str">
        <f>IF(生徒データ!C258=0,"",生徒データ!C258)</f>
        <v/>
      </c>
      <c r="AC20" s="49" t="str">
        <f>IF(生徒データ!C263=0,"",生徒データ!C263)</f>
        <v/>
      </c>
      <c r="AD20" s="49" t="str">
        <f>IF(生徒データ!C268=0,"",生徒データ!C268)</f>
        <v/>
      </c>
      <c r="AE20" s="49" t="str">
        <f>IF(生徒データ!C273=0,"",生徒データ!C273)</f>
        <v/>
      </c>
      <c r="AF20" s="50" t="str">
        <f>IF(生徒データ!C278=0,"",生徒データ!C278)</f>
        <v/>
      </c>
    </row>
    <row r="21" spans="2:32" ht="15" customHeight="1">
      <c r="B21" s="61"/>
      <c r="C21" s="63"/>
      <c r="D21" s="25"/>
      <c r="E21" s="33" t="str">
        <f>IF(生徒データ!D143=0,"",生徒データ!D143)</f>
        <v/>
      </c>
      <c r="F21" s="33" t="str">
        <f>IF(生徒データ!D148=0,"",生徒データ!D148)</f>
        <v/>
      </c>
      <c r="G21" s="33" t="str">
        <f>IF(生徒データ!D153=0,"",生徒データ!D153)</f>
        <v/>
      </c>
      <c r="H21" s="33" t="str">
        <f>IF(生徒データ!D158=0,"",生徒データ!D158)</f>
        <v/>
      </c>
      <c r="I21" s="33" t="str">
        <f>IF(生徒データ!D163=0,"",生徒データ!D163)</f>
        <v/>
      </c>
      <c r="J21" s="33" t="str">
        <f>IF(生徒データ!D168=0,"",生徒データ!D168)</f>
        <v/>
      </c>
      <c r="K21" s="33" t="str">
        <f>IF(生徒データ!D173=0,"",生徒データ!D173)</f>
        <v/>
      </c>
      <c r="L21" s="33" t="str">
        <f>IF(生徒データ!D178=0,"",生徒データ!D178)</f>
        <v/>
      </c>
      <c r="M21" s="33" t="str">
        <f>IF(生徒データ!D183=0,"",生徒データ!D183)</f>
        <v/>
      </c>
      <c r="N21" s="33" t="str">
        <f>IF(生徒データ!D188=0,"",生徒データ!D188)</f>
        <v/>
      </c>
      <c r="O21" s="33" t="str">
        <f>IF(生徒データ!D193=0,"",生徒データ!D193)</f>
        <v/>
      </c>
      <c r="P21" s="33" t="str">
        <f>IF(生徒データ!D198=0,"",生徒データ!D198)</f>
        <v/>
      </c>
      <c r="Q21" s="33" t="str">
        <f>IF(生徒データ!D203=0,"",生徒データ!D203)</f>
        <v/>
      </c>
      <c r="R21" s="33" t="str">
        <f>IF(生徒データ!D208=0,"",生徒データ!D208)</f>
        <v/>
      </c>
      <c r="S21" s="33" t="str">
        <f>IF(生徒データ!D213=0,"",生徒データ!D213)</f>
        <v/>
      </c>
      <c r="T21" s="33" t="str">
        <f>IF(生徒データ!D218=0,"",生徒データ!D218)</f>
        <v/>
      </c>
      <c r="U21" s="33" t="str">
        <f>IF(生徒データ!D223=0,"",生徒データ!D223)</f>
        <v/>
      </c>
      <c r="V21" s="33" t="str">
        <f>IF(生徒データ!D228=0,"",生徒データ!D228)</f>
        <v/>
      </c>
      <c r="W21" s="33" t="str">
        <f>IF(生徒データ!D233=0,"",生徒データ!D233)</f>
        <v/>
      </c>
      <c r="X21" s="33" t="str">
        <f>IF(生徒データ!D238=0,"",生徒データ!D238)</f>
        <v/>
      </c>
      <c r="Y21" s="33" t="str">
        <f>IF(生徒データ!D243=0,"",生徒データ!D243)</f>
        <v/>
      </c>
      <c r="Z21" s="33" t="str">
        <f>IF(生徒データ!D248=0,"",生徒データ!D248)</f>
        <v/>
      </c>
      <c r="AA21" s="33" t="str">
        <f>IF(生徒データ!D253=0,"",生徒データ!D253)</f>
        <v/>
      </c>
      <c r="AB21" s="33" t="str">
        <f>IF(生徒データ!D258=0,"",生徒データ!D258)</f>
        <v/>
      </c>
      <c r="AC21" s="33" t="str">
        <f>IF(生徒データ!D263=0,"",生徒データ!D263)</f>
        <v/>
      </c>
      <c r="AD21" s="33" t="str">
        <f>IF(生徒データ!D268=0,"",生徒データ!D268)</f>
        <v/>
      </c>
      <c r="AE21" s="33" t="str">
        <f>IF(生徒データ!D273=0,"",生徒データ!D273)</f>
        <v/>
      </c>
      <c r="AF21" s="34" t="str">
        <f>IF(生徒データ!D278=0,"",生徒データ!D278)</f>
        <v/>
      </c>
    </row>
    <row r="22" spans="2:32" ht="25" customHeight="1">
      <c r="B22" s="61" t="s">
        <v>15</v>
      </c>
      <c r="C22" s="62" t="str">
        <f>TEXT("16:40", "h:mm")</f>
        <v>16:40</v>
      </c>
      <c r="D22" s="41" t="s">
        <v>13</v>
      </c>
      <c r="E22" s="49" t="str">
        <f>IF(生徒データ!C144=0,"",生徒データ!C144)</f>
        <v/>
      </c>
      <c r="F22" s="49" t="str">
        <f>IF(生徒データ!C149=0,"",生徒データ!C149)</f>
        <v/>
      </c>
      <c r="G22" s="49" t="str">
        <f>IF(生徒データ!C154=0,"",生徒データ!C154)</f>
        <v/>
      </c>
      <c r="H22" s="49" t="str">
        <f>IF(生徒データ!C159=0,"",生徒データ!C159)</f>
        <v/>
      </c>
      <c r="I22" s="49" t="str">
        <f>IF(生徒データ!C164=0,"",生徒データ!C164)</f>
        <v/>
      </c>
      <c r="J22" s="49" t="str">
        <f>IF(生徒データ!C169=0,"",生徒データ!C169)</f>
        <v/>
      </c>
      <c r="K22" s="49" t="str">
        <f>IF(生徒データ!C174=0,"",生徒データ!C174)</f>
        <v/>
      </c>
      <c r="L22" s="49" t="str">
        <f>IF(生徒データ!C179=0,"",生徒データ!C179)</f>
        <v/>
      </c>
      <c r="M22" s="49" t="str">
        <f>IF(生徒データ!C184=0,"",生徒データ!C184)</f>
        <v/>
      </c>
      <c r="N22" s="49" t="str">
        <f>IF(生徒データ!C189=0,"",生徒データ!C189)</f>
        <v/>
      </c>
      <c r="O22" s="49" t="str">
        <f>IF(生徒データ!C194=0,"",生徒データ!C194)</f>
        <v/>
      </c>
      <c r="P22" s="49" t="str">
        <f>IF(生徒データ!C199=0,"",生徒データ!C199)</f>
        <v/>
      </c>
      <c r="Q22" s="49" t="str">
        <f>IF(生徒データ!C204=0,"",生徒データ!C204)</f>
        <v/>
      </c>
      <c r="R22" s="49" t="str">
        <f>IF(生徒データ!C209=0,"",生徒データ!C209)</f>
        <v/>
      </c>
      <c r="S22" s="49" t="str">
        <f>IF(生徒データ!C214=0,"",生徒データ!C214)</f>
        <v/>
      </c>
      <c r="T22" s="49" t="str">
        <f>IF(生徒データ!C219=0,"",生徒データ!C219)</f>
        <v/>
      </c>
      <c r="U22" s="49" t="str">
        <f>IF(生徒データ!C224=0,"",生徒データ!C224)</f>
        <v/>
      </c>
      <c r="V22" s="49" t="str">
        <f>IF(生徒データ!C229=0,"",生徒データ!C229)</f>
        <v/>
      </c>
      <c r="W22" s="49" t="str">
        <f>IF(生徒データ!C234=0,"",生徒データ!C234)</f>
        <v/>
      </c>
      <c r="X22" s="49" t="str">
        <f>IF(生徒データ!C239=0,"",生徒データ!C239)</f>
        <v/>
      </c>
      <c r="Y22" s="49" t="str">
        <f>IF(生徒データ!C244=0,"",生徒データ!C244)</f>
        <v/>
      </c>
      <c r="Z22" s="49" t="str">
        <f>IF(生徒データ!C249=0,"",生徒データ!C249)</f>
        <v/>
      </c>
      <c r="AA22" s="49" t="str">
        <f>IF(生徒データ!C254=0,"",生徒データ!C254)</f>
        <v/>
      </c>
      <c r="AB22" s="49" t="str">
        <f>IF(生徒データ!C259=0,"",生徒データ!C259)</f>
        <v/>
      </c>
      <c r="AC22" s="49" t="str">
        <f>IF(生徒データ!C264=0,"",生徒データ!C264)</f>
        <v/>
      </c>
      <c r="AD22" s="49" t="str">
        <f>IF(生徒データ!C269=0,"",生徒データ!C269)</f>
        <v/>
      </c>
      <c r="AE22" s="49" t="str">
        <f>IF(生徒データ!C274=0,"",生徒データ!C274)</f>
        <v/>
      </c>
      <c r="AF22" s="50" t="str">
        <f>IF(生徒データ!C279=0,"",生徒データ!C279)</f>
        <v/>
      </c>
    </row>
    <row r="23" spans="2:32" ht="15" customHeight="1">
      <c r="B23" s="61"/>
      <c r="C23" s="63"/>
      <c r="D23" s="25"/>
      <c r="E23" s="33" t="str">
        <f>IF(生徒データ!D144=0,"",生徒データ!D144)</f>
        <v/>
      </c>
      <c r="F23" s="33" t="str">
        <f>IF(生徒データ!D149=0,"",生徒データ!D149)</f>
        <v/>
      </c>
      <c r="G23" s="33" t="str">
        <f>IF(生徒データ!D154=0,"",生徒データ!D154)</f>
        <v/>
      </c>
      <c r="H23" s="33" t="str">
        <f>IF(生徒データ!D159=0,"",生徒データ!D159)</f>
        <v/>
      </c>
      <c r="I23" s="33" t="str">
        <f>IF(生徒データ!D164=0,"",生徒データ!D164)</f>
        <v/>
      </c>
      <c r="J23" s="33" t="str">
        <f>IF(生徒データ!D169=0,"",生徒データ!D169)</f>
        <v/>
      </c>
      <c r="K23" s="33" t="str">
        <f>IF(生徒データ!D174=0,"",生徒データ!D174)</f>
        <v/>
      </c>
      <c r="L23" s="33" t="str">
        <f>IF(生徒データ!D179=0,"",生徒データ!D179)</f>
        <v/>
      </c>
      <c r="M23" s="33" t="str">
        <f>IF(生徒データ!D184=0,"",生徒データ!D184)</f>
        <v/>
      </c>
      <c r="N23" s="33" t="str">
        <f>IF(生徒データ!D189=0,"",生徒データ!D189)</f>
        <v/>
      </c>
      <c r="O23" s="33" t="str">
        <f>IF(生徒データ!D194=0,"",生徒データ!D194)</f>
        <v/>
      </c>
      <c r="P23" s="33" t="str">
        <f>IF(生徒データ!D199=0,"",生徒データ!D199)</f>
        <v/>
      </c>
      <c r="Q23" s="33" t="str">
        <f>IF(生徒データ!D204=0,"",生徒データ!D204)</f>
        <v/>
      </c>
      <c r="R23" s="33" t="str">
        <f>IF(生徒データ!D209=0,"",生徒データ!D209)</f>
        <v/>
      </c>
      <c r="S23" s="33" t="str">
        <f>IF(生徒データ!D214=0,"",生徒データ!D214)</f>
        <v/>
      </c>
      <c r="T23" s="33" t="str">
        <f>IF(生徒データ!D219=0,"",生徒データ!D219)</f>
        <v/>
      </c>
      <c r="U23" s="33" t="str">
        <f>IF(生徒データ!D224=0,"",生徒データ!D224)</f>
        <v/>
      </c>
      <c r="V23" s="33" t="str">
        <f>IF(生徒データ!D229=0,"",生徒データ!D229)</f>
        <v/>
      </c>
      <c r="W23" s="33" t="str">
        <f>IF(生徒データ!D234=0,"",生徒データ!D234)</f>
        <v/>
      </c>
      <c r="X23" s="33" t="str">
        <f>IF(生徒データ!D239=0,"",生徒データ!D239)</f>
        <v/>
      </c>
      <c r="Y23" s="33" t="str">
        <f>IF(生徒データ!D244=0,"",生徒データ!D244)</f>
        <v/>
      </c>
      <c r="Z23" s="33" t="str">
        <f>IF(生徒データ!D249=0,"",生徒データ!D249)</f>
        <v/>
      </c>
      <c r="AA23" s="33" t="str">
        <f>IF(生徒データ!D254=0,"",生徒データ!D254)</f>
        <v/>
      </c>
      <c r="AB23" s="33" t="str">
        <f>IF(生徒データ!D259=0,"",生徒データ!D259)</f>
        <v/>
      </c>
      <c r="AC23" s="33" t="str">
        <f>IF(生徒データ!D264=0,"",生徒データ!D264)</f>
        <v/>
      </c>
      <c r="AD23" s="33" t="str">
        <f>IF(生徒データ!D269=0,"",生徒データ!D269)</f>
        <v/>
      </c>
      <c r="AE23" s="33" t="str">
        <f>IF(生徒データ!D274=0,"",生徒データ!D274)</f>
        <v/>
      </c>
      <c r="AF23" s="34" t="str">
        <f>IF(生徒データ!D279=0,"",生徒データ!D279)</f>
        <v/>
      </c>
    </row>
    <row r="24" spans="2:32" ht="25" customHeight="1">
      <c r="B24" s="61" t="s">
        <v>16</v>
      </c>
      <c r="C24" s="62" t="str">
        <f>TEXT("18:20", "h:mm")</f>
        <v>18:20</v>
      </c>
      <c r="D24" s="41" t="s">
        <v>13</v>
      </c>
      <c r="E24" s="49" t="str">
        <f>IF(生徒データ!C145=0,"",生徒データ!C145)</f>
        <v/>
      </c>
      <c r="F24" s="49" t="str">
        <f>IF(生徒データ!C150=0,"",生徒データ!C150)</f>
        <v/>
      </c>
      <c r="G24" s="49" t="str">
        <f>IF(生徒データ!C155=0,"",生徒データ!C155)</f>
        <v/>
      </c>
      <c r="H24" s="49" t="str">
        <f>IF(生徒データ!C160=0,"",生徒データ!C160)</f>
        <v/>
      </c>
      <c r="I24" s="49" t="str">
        <f>IF(生徒データ!C165=0,"",生徒データ!C165)</f>
        <v/>
      </c>
      <c r="J24" s="49" t="str">
        <f>IF(生徒データ!C170=0,"",生徒データ!C170)</f>
        <v/>
      </c>
      <c r="K24" s="49" t="str">
        <f>IF(生徒データ!C175=0,"",生徒データ!C175)</f>
        <v/>
      </c>
      <c r="L24" s="49" t="str">
        <f>IF(生徒データ!C180=0,"",生徒データ!C180)</f>
        <v/>
      </c>
      <c r="M24" s="49" t="str">
        <f>IF(生徒データ!C185=0,"",生徒データ!C185)</f>
        <v/>
      </c>
      <c r="N24" s="49" t="str">
        <f>IF(生徒データ!C190=0,"",生徒データ!C190)</f>
        <v/>
      </c>
      <c r="O24" s="49" t="str">
        <f>IF(生徒データ!C195=0,"",生徒データ!C195)</f>
        <v/>
      </c>
      <c r="P24" s="49" t="str">
        <f>IF(生徒データ!C200=0,"",生徒データ!C200)</f>
        <v/>
      </c>
      <c r="Q24" s="49" t="str">
        <f>IF(生徒データ!C205=0,"",生徒データ!C205)</f>
        <v/>
      </c>
      <c r="R24" s="49" t="str">
        <f>IF(生徒データ!C210=0,"",生徒データ!C210)</f>
        <v/>
      </c>
      <c r="S24" s="49" t="str">
        <f>IF(生徒データ!C215=0,"",生徒データ!C215)</f>
        <v/>
      </c>
      <c r="T24" s="49" t="str">
        <f>IF(生徒データ!C220=0,"",生徒データ!C220)</f>
        <v/>
      </c>
      <c r="U24" s="49" t="str">
        <f>IF(生徒データ!C225=0,"",生徒データ!C225)</f>
        <v/>
      </c>
      <c r="V24" s="49" t="str">
        <f>IF(生徒データ!C230=0,"",生徒データ!C230)</f>
        <v/>
      </c>
      <c r="W24" s="49" t="str">
        <f>IF(生徒データ!C235=0,"",生徒データ!C235)</f>
        <v/>
      </c>
      <c r="X24" s="49" t="str">
        <f>IF(生徒データ!C240=0,"",生徒データ!C240)</f>
        <v/>
      </c>
      <c r="Y24" s="49" t="str">
        <f>IF(生徒データ!C245=0,"",生徒データ!C245)</f>
        <v/>
      </c>
      <c r="Z24" s="49" t="str">
        <f>IF(生徒データ!C250=0,"",生徒データ!C250)</f>
        <v/>
      </c>
      <c r="AA24" s="49" t="str">
        <f>IF(生徒データ!C255=0,"",生徒データ!C255)</f>
        <v/>
      </c>
      <c r="AB24" s="49" t="str">
        <f>IF(生徒データ!C260=0,"",生徒データ!C260)</f>
        <v/>
      </c>
      <c r="AC24" s="49" t="str">
        <f>IF(生徒データ!C265=0,"",生徒データ!C265)</f>
        <v/>
      </c>
      <c r="AD24" s="49" t="str">
        <f>IF(生徒データ!C270=0,"",生徒データ!C270)</f>
        <v/>
      </c>
      <c r="AE24" s="49" t="str">
        <f>IF(生徒データ!C275=0,"",生徒データ!C275)</f>
        <v/>
      </c>
      <c r="AF24" s="50" t="str">
        <f>IF(生徒データ!C280=0,"",生徒データ!C280)</f>
        <v/>
      </c>
    </row>
    <row r="25" spans="2:32" ht="15" customHeight="1">
      <c r="B25" s="61"/>
      <c r="C25" s="63"/>
      <c r="D25" s="25"/>
      <c r="E25" s="33" t="str">
        <f>IF(生徒データ!D145=0,"",生徒データ!D145)</f>
        <v/>
      </c>
      <c r="F25" s="33" t="str">
        <f>IF(生徒データ!D150=0,"",生徒データ!D150)</f>
        <v/>
      </c>
      <c r="G25" s="33" t="str">
        <f>IF(生徒データ!D155=0,"",生徒データ!D155)</f>
        <v/>
      </c>
      <c r="H25" s="33" t="str">
        <f>IF(生徒データ!D160=0,"",生徒データ!D160)</f>
        <v/>
      </c>
      <c r="I25" s="33" t="str">
        <f>IF(生徒データ!D165=0,"",生徒データ!D165)</f>
        <v/>
      </c>
      <c r="J25" s="33" t="str">
        <f>IF(生徒データ!D170=0,"",生徒データ!D170)</f>
        <v/>
      </c>
      <c r="K25" s="33" t="str">
        <f>IF(生徒データ!D175=0,"",生徒データ!D175)</f>
        <v/>
      </c>
      <c r="L25" s="33" t="str">
        <f>IF(生徒データ!D180=0,"",生徒データ!D180)</f>
        <v/>
      </c>
      <c r="M25" s="33" t="str">
        <f>IF(生徒データ!D185=0,"",生徒データ!D185)</f>
        <v/>
      </c>
      <c r="N25" s="33" t="str">
        <f>IF(生徒データ!D190=0,"",生徒データ!D190)</f>
        <v/>
      </c>
      <c r="O25" s="33" t="str">
        <f>IF(生徒データ!D195=0,"",生徒データ!D195)</f>
        <v/>
      </c>
      <c r="P25" s="33" t="str">
        <f>IF(生徒データ!D200=0,"",生徒データ!D200)</f>
        <v/>
      </c>
      <c r="Q25" s="33" t="str">
        <f>IF(生徒データ!D205=0,"",生徒データ!D205)</f>
        <v/>
      </c>
      <c r="R25" s="33" t="str">
        <f>IF(生徒データ!D210=0,"",生徒データ!D210)</f>
        <v/>
      </c>
      <c r="S25" s="33" t="str">
        <f>IF(生徒データ!D215=0,"",生徒データ!D215)</f>
        <v/>
      </c>
      <c r="T25" s="33" t="str">
        <f>IF(生徒データ!D220=0,"",生徒データ!D220)</f>
        <v/>
      </c>
      <c r="U25" s="33" t="str">
        <f>IF(生徒データ!D225=0,"",生徒データ!D225)</f>
        <v/>
      </c>
      <c r="V25" s="33" t="str">
        <f>IF(生徒データ!D230=0,"",生徒データ!D230)</f>
        <v/>
      </c>
      <c r="W25" s="33" t="str">
        <f>IF(生徒データ!D235=0,"",生徒データ!D235)</f>
        <v/>
      </c>
      <c r="X25" s="33" t="str">
        <f>IF(生徒データ!D240=0,"",生徒データ!D240)</f>
        <v/>
      </c>
      <c r="Y25" s="33" t="str">
        <f>IF(生徒データ!D245=0,"",生徒データ!D245)</f>
        <v/>
      </c>
      <c r="Z25" s="33" t="str">
        <f>IF(生徒データ!D250=0,"",生徒データ!D250)</f>
        <v/>
      </c>
      <c r="AA25" s="33" t="str">
        <f>IF(生徒データ!D255=0,"",生徒データ!D255)</f>
        <v/>
      </c>
      <c r="AB25" s="33" t="str">
        <f>IF(生徒データ!D260=0,"",生徒データ!D260)</f>
        <v/>
      </c>
      <c r="AC25" s="33" t="str">
        <f>IF(生徒データ!D265=0,"",生徒データ!D265)</f>
        <v/>
      </c>
      <c r="AD25" s="33" t="str">
        <f>IF(生徒データ!D270=0,"",生徒データ!D270)</f>
        <v/>
      </c>
      <c r="AE25" s="33" t="str">
        <f>IF(生徒データ!D275=0,"",生徒データ!D275)</f>
        <v/>
      </c>
      <c r="AF25" s="34" t="str">
        <f>IF(生徒データ!D280=0,"",生徒データ!D280)</f>
        <v/>
      </c>
    </row>
    <row r="26" spans="2:32" ht="25" customHeight="1">
      <c r="B26" s="61" t="s">
        <v>17</v>
      </c>
      <c r="C26" s="63" t="str">
        <f>TEXT("20:00", "h:mm")</f>
        <v>20:00</v>
      </c>
      <c r="D26" s="41" t="s">
        <v>13</v>
      </c>
      <c r="E26" s="49" t="str">
        <f>IF(生徒データ!C146=0,"",生徒データ!C146)</f>
        <v/>
      </c>
      <c r="F26" s="49" t="str">
        <f>IF(生徒データ!C151=0,"",生徒データ!C151)</f>
        <v/>
      </c>
      <c r="G26" s="49" t="str">
        <f>IF(生徒データ!C156=0,"",生徒データ!C156)</f>
        <v/>
      </c>
      <c r="H26" s="49" t="str">
        <f>IF(生徒データ!C161=0,"",生徒データ!C161)</f>
        <v/>
      </c>
      <c r="I26" s="49" t="str">
        <f>IF(生徒データ!C166=0,"",生徒データ!C166)</f>
        <v/>
      </c>
      <c r="J26" s="49" t="str">
        <f>IF(生徒データ!C171=0,"",生徒データ!C171)</f>
        <v/>
      </c>
      <c r="K26" s="49" t="str">
        <f>IF(生徒データ!C176=0,"",生徒データ!C176)</f>
        <v/>
      </c>
      <c r="L26" s="49" t="str">
        <f>IF(生徒データ!C181=0,"",生徒データ!C181)</f>
        <v/>
      </c>
      <c r="M26" s="49" t="str">
        <f>IF(生徒データ!C186=0,"",生徒データ!C186)</f>
        <v/>
      </c>
      <c r="N26" s="49" t="str">
        <f>IF(生徒データ!C191=0,"",生徒データ!C191)</f>
        <v/>
      </c>
      <c r="O26" s="49" t="str">
        <f>IF(生徒データ!C196=0,"",生徒データ!C196)</f>
        <v/>
      </c>
      <c r="P26" s="49" t="str">
        <f>IF(生徒データ!C201=0,"",生徒データ!C201)</f>
        <v/>
      </c>
      <c r="Q26" s="49" t="str">
        <f>IF(生徒データ!C206=0,"",生徒データ!C206)</f>
        <v/>
      </c>
      <c r="R26" s="49" t="str">
        <f>IF(生徒データ!C211=0,"",生徒データ!C211)</f>
        <v/>
      </c>
      <c r="S26" s="49" t="str">
        <f>IF(生徒データ!C216=0,"",生徒データ!C216)</f>
        <v/>
      </c>
      <c r="T26" s="49" t="str">
        <f>IF(生徒データ!C221=0,"",生徒データ!C221)</f>
        <v/>
      </c>
      <c r="U26" s="49" t="str">
        <f>IF(生徒データ!C226=0,"",生徒データ!C226)</f>
        <v/>
      </c>
      <c r="V26" s="49" t="str">
        <f>IF(生徒データ!C231=0,"",生徒データ!C231)</f>
        <v/>
      </c>
      <c r="W26" s="49" t="str">
        <f>IF(生徒データ!C236=0,"",生徒データ!C236)</f>
        <v/>
      </c>
      <c r="X26" s="49" t="str">
        <f>IF(生徒データ!C241=0,"",生徒データ!C241)</f>
        <v/>
      </c>
      <c r="Y26" s="49" t="str">
        <f>IF(生徒データ!C246=0,"",生徒データ!C246)</f>
        <v/>
      </c>
      <c r="Z26" s="49" t="str">
        <f>IF(生徒データ!C251=0,"",生徒データ!C251)</f>
        <v/>
      </c>
      <c r="AA26" s="49" t="str">
        <f>IF(生徒データ!C256=0,"",生徒データ!C256)</f>
        <v/>
      </c>
      <c r="AB26" s="49" t="str">
        <f>IF(生徒データ!C261=0,"",生徒データ!C261)</f>
        <v/>
      </c>
      <c r="AC26" s="49" t="str">
        <f>IF(生徒データ!C266=0,"",生徒データ!C266)</f>
        <v/>
      </c>
      <c r="AD26" s="49" t="str">
        <f>IF(生徒データ!C271=0,"",生徒データ!C271)</f>
        <v/>
      </c>
      <c r="AE26" s="49" t="str">
        <f>IF(生徒データ!C276=0,"",生徒データ!C276)</f>
        <v/>
      </c>
      <c r="AF26" s="50" t="str">
        <f>IF(生徒データ!C281=0,"",生徒データ!C281)</f>
        <v/>
      </c>
    </row>
    <row r="27" spans="2:32" ht="15" customHeight="1" thickBot="1">
      <c r="B27" s="65"/>
      <c r="C27" s="64"/>
      <c r="D27" s="44"/>
      <c r="E27" s="51" t="str">
        <f>IF(生徒データ!D146=0,"",生徒データ!D146)</f>
        <v/>
      </c>
      <c r="F27" s="51" t="str">
        <f>IF(生徒データ!D151=0,"",生徒データ!D151)</f>
        <v/>
      </c>
      <c r="G27" s="51" t="str">
        <f>IF(生徒データ!D156=0,"",生徒データ!D156)</f>
        <v/>
      </c>
      <c r="H27" s="51" t="str">
        <f>IF(生徒データ!D161=0,"",生徒データ!D161)</f>
        <v/>
      </c>
      <c r="I27" s="51" t="str">
        <f>IF(生徒データ!D166=0,"",生徒データ!D166)</f>
        <v/>
      </c>
      <c r="J27" s="51" t="str">
        <f>IF(生徒データ!D171=0,"",生徒データ!D171)</f>
        <v/>
      </c>
      <c r="K27" s="51" t="str">
        <f>IF(生徒データ!D176=0,"",生徒データ!D176)</f>
        <v/>
      </c>
      <c r="L27" s="51" t="str">
        <f>IF(生徒データ!D181=0,"",生徒データ!D181)</f>
        <v/>
      </c>
      <c r="M27" s="51" t="str">
        <f>IF(生徒データ!D186=0,"",生徒データ!D186)</f>
        <v/>
      </c>
      <c r="N27" s="51" t="str">
        <f>IF(生徒データ!D191=0,"",生徒データ!D191)</f>
        <v/>
      </c>
      <c r="O27" s="51" t="str">
        <f>IF(生徒データ!D196=0,"",生徒データ!D196)</f>
        <v/>
      </c>
      <c r="P27" s="51" t="str">
        <f>IF(生徒データ!D201=0,"",生徒データ!D201)</f>
        <v/>
      </c>
      <c r="Q27" s="51" t="str">
        <f>IF(生徒データ!D206=0,"",生徒データ!D206)</f>
        <v/>
      </c>
      <c r="R27" s="51" t="str">
        <f>IF(生徒データ!D211=0,"",生徒データ!D211)</f>
        <v/>
      </c>
      <c r="S27" s="51" t="str">
        <f>IF(生徒データ!D216=0,"",生徒データ!D216)</f>
        <v/>
      </c>
      <c r="T27" s="51" t="str">
        <f>IF(生徒データ!D221=0,"",生徒データ!D221)</f>
        <v/>
      </c>
      <c r="U27" s="51" t="str">
        <f>IF(生徒データ!D226=0,"",生徒データ!D226)</f>
        <v/>
      </c>
      <c r="V27" s="51" t="str">
        <f>IF(生徒データ!D231=0,"",生徒データ!D231)</f>
        <v/>
      </c>
      <c r="W27" s="51" t="str">
        <f>IF(生徒データ!D236=0,"",生徒データ!D236)</f>
        <v/>
      </c>
      <c r="X27" s="51" t="str">
        <f>IF(生徒データ!D241=0,"",生徒データ!D241)</f>
        <v/>
      </c>
      <c r="Y27" s="51" t="str">
        <f>IF(生徒データ!D246=0,"",生徒データ!D246)</f>
        <v/>
      </c>
      <c r="Z27" s="51" t="str">
        <f>IF(生徒データ!D251=0,"",生徒データ!D251)</f>
        <v/>
      </c>
      <c r="AA27" s="51" t="str">
        <f>IF(生徒データ!D256=0,"",生徒データ!D256)</f>
        <v/>
      </c>
      <c r="AB27" s="51" t="str">
        <f>IF(生徒データ!D261=0,"",生徒データ!D261)</f>
        <v/>
      </c>
      <c r="AC27" s="51" t="str">
        <f>IF(生徒データ!D266=0,"",生徒データ!D266)</f>
        <v/>
      </c>
      <c r="AD27" s="51" t="str">
        <f>IF(生徒データ!D271=0,"",生徒データ!D271)</f>
        <v/>
      </c>
      <c r="AE27" s="51" t="str">
        <f>IF(生徒データ!D276=0,"",生徒データ!D276)</f>
        <v/>
      </c>
      <c r="AF27" s="52" t="str">
        <f>IF(生徒データ!D281=0,"",生徒データ!D281)</f>
        <v/>
      </c>
    </row>
    <row r="28" spans="2:32" ht="22" customHeight="1" thickTop="1">
      <c r="B28" s="2"/>
      <c r="C28" s="6"/>
      <c r="D28" s="7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2:32" ht="20" customHeight="1">
      <c r="B29" s="9" t="s">
        <v>18</v>
      </c>
      <c r="C29" s="9"/>
      <c r="D29" s="1"/>
      <c r="E29" s="1"/>
      <c r="F29" s="1"/>
      <c r="G29" s="1"/>
      <c r="H29" s="10"/>
      <c r="I29" s="10"/>
      <c r="K29" s="11"/>
      <c r="L29" s="11"/>
      <c r="M29" s="11"/>
      <c r="N29" s="11"/>
      <c r="O29" s="11"/>
      <c r="P29" s="11"/>
      <c r="V29" s="59"/>
      <c r="W29" s="59"/>
      <c r="X29" s="59"/>
      <c r="Y29" s="53" t="s">
        <v>37</v>
      </c>
      <c r="Z29" s="53" t="s">
        <v>38</v>
      </c>
      <c r="AA29" s="53" t="s">
        <v>39</v>
      </c>
      <c r="AB29" s="53" t="s">
        <v>40</v>
      </c>
      <c r="AC29" s="53" t="s">
        <v>41</v>
      </c>
      <c r="AD29" s="79"/>
      <c r="AE29" s="30"/>
      <c r="AF29" s="30"/>
    </row>
    <row r="30" spans="2:32" ht="22" customHeight="1">
      <c r="B30" s="9" t="s">
        <v>19</v>
      </c>
      <c r="C30" s="9"/>
      <c r="D30" s="1"/>
      <c r="E30" s="1"/>
      <c r="F30" s="1"/>
      <c r="G30" s="1"/>
      <c r="H30" s="1"/>
      <c r="I30" s="1"/>
      <c r="K30" s="11"/>
      <c r="L30" s="11"/>
      <c r="M30" s="11"/>
      <c r="N30" s="11"/>
      <c r="O30" s="11"/>
      <c r="P30" s="11"/>
      <c r="V30" s="59" t="s">
        <v>82</v>
      </c>
      <c r="W30" s="59"/>
      <c r="X30" s="59"/>
      <c r="Y30" s="54">
        <f>VLOOKUP(生徒データ!E2, 生徒_受講コマ数_初回!C2:H31, 2, FALSE)</f>
        <v>3</v>
      </c>
      <c r="Z30" s="54">
        <f>VLOOKUP(生徒データ!E2, 生徒_受講コマ数_初回!C2:H31, 3, FALSE)</f>
        <v>3</v>
      </c>
      <c r="AA30" s="54">
        <f>VLOOKUP(生徒データ!E2, 生徒_受講コマ数_初回!C2:H31, 4, FALSE)</f>
        <v>3</v>
      </c>
      <c r="AB30" s="54">
        <f>VLOOKUP(生徒データ!E2, 生徒_受講コマ数_初回!C2:H31, 5, FALSE)</f>
        <v>3</v>
      </c>
      <c r="AC30" s="54">
        <f>VLOOKUP(生徒データ!E2, 生徒_受講コマ数_初回!C2:H31, 6, FALSE)</f>
        <v>3</v>
      </c>
      <c r="AD30" s="80"/>
    </row>
    <row r="31" spans="2:32" ht="23">
      <c r="B31" s="9" t="s">
        <v>20</v>
      </c>
      <c r="C31" s="9"/>
      <c r="D31" s="1"/>
      <c r="E31" s="1"/>
      <c r="F31" s="1"/>
      <c r="G31" s="1"/>
      <c r="H31" s="1"/>
      <c r="I31" s="1"/>
      <c r="K31" s="11"/>
      <c r="L31" s="11"/>
      <c r="M31" s="11"/>
      <c r="N31" s="11"/>
      <c r="O31" s="11"/>
      <c r="P31" s="11"/>
      <c r="V31" s="59" t="s">
        <v>83</v>
      </c>
      <c r="W31" s="59"/>
      <c r="X31" s="59"/>
      <c r="Y31" s="86">
        <f>COUNTIF(生徒データ!$C$2:$C$101, "国語")</f>
        <v>3</v>
      </c>
      <c r="Z31" s="86">
        <f>COUNTIF(生徒データ!$C$2:$C$101, "数学")</f>
        <v>3</v>
      </c>
      <c r="AA31" s="86">
        <f>COUNTIF(生徒データ!$C$2:$C$101, "英語")</f>
        <v>3</v>
      </c>
      <c r="AB31" s="86">
        <f>COUNTIF(生徒データ!$C$2:$C$101, "理科")</f>
        <v>3</v>
      </c>
      <c r="AC31" s="86">
        <f>COUNTIF(生徒データ!$C$2:$C$101, "社会")</f>
        <v>3</v>
      </c>
      <c r="AD31" s="81"/>
    </row>
    <row r="32" spans="2:32" ht="23">
      <c r="B32" s="9" t="s">
        <v>21</v>
      </c>
      <c r="C32" s="9"/>
      <c r="D32" s="1"/>
      <c r="E32" s="1"/>
      <c r="F32" s="1"/>
      <c r="G32" s="1"/>
      <c r="H32" s="1"/>
      <c r="I32" s="1"/>
      <c r="K32" s="11"/>
      <c r="L32" s="11"/>
      <c r="M32" s="11"/>
      <c r="N32" s="11"/>
      <c r="O32" s="11"/>
      <c r="P32" s="11"/>
      <c r="U32" s="16"/>
      <c r="V32" s="59" t="s">
        <v>84</v>
      </c>
      <c r="W32" s="59"/>
      <c r="X32" s="59"/>
      <c r="Y32" s="54">
        <f>VLOOKUP(生徒データ!E2, 生徒_受講コマ数_初回!C2:M31, 7, FALSE)</f>
        <v>0</v>
      </c>
      <c r="Z32" s="54">
        <f>VLOOKUP(生徒データ!E2, 生徒_受講コマ数_初回!C2:M31, 8, FALSE)</f>
        <v>0</v>
      </c>
      <c r="AA32" s="54">
        <f>VLOOKUP(生徒データ!E2, 生徒_受講コマ数_初回!C2:M31, 9, FALSE)</f>
        <v>0</v>
      </c>
      <c r="AB32" s="91">
        <f>VLOOKUP(生徒データ!E2, 生徒_受講コマ数_初回!C2:M31, 10, FALSE)</f>
        <v>0</v>
      </c>
      <c r="AC32" s="92">
        <f>VLOOKUP(生徒データ!E2, 生徒_受講コマ数_初回!C2:M31, 11, FALSE)</f>
        <v>0</v>
      </c>
      <c r="AD32" s="82"/>
      <c r="AE32" s="16"/>
      <c r="AF32" s="16"/>
    </row>
    <row r="33" spans="2:29" ht="22" customHeight="1">
      <c r="B33" s="9" t="s">
        <v>22</v>
      </c>
      <c r="C33" s="9"/>
      <c r="D33" s="7"/>
      <c r="E33" s="8"/>
      <c r="F33" s="8"/>
      <c r="G33" s="8"/>
      <c r="H33" s="1"/>
      <c r="I33" s="1"/>
      <c r="K33" s="11"/>
      <c r="L33" s="11"/>
      <c r="M33" s="11"/>
      <c r="N33" s="11"/>
      <c r="O33" s="11"/>
      <c r="P33" s="11"/>
      <c r="V33" s="59" t="s">
        <v>81</v>
      </c>
      <c r="W33" s="59"/>
      <c r="X33" s="59"/>
      <c r="Y33" s="86">
        <f>Y30-Y31+Y32</f>
        <v>0</v>
      </c>
      <c r="Z33" s="86">
        <f t="shared" ref="Z33:AC33" si="3">Z30-Z31+Z32</f>
        <v>0</v>
      </c>
      <c r="AA33" s="86">
        <f t="shared" si="3"/>
        <v>0</v>
      </c>
      <c r="AB33" s="86">
        <f t="shared" si="3"/>
        <v>0</v>
      </c>
      <c r="AC33" s="86">
        <f t="shared" si="3"/>
        <v>0</v>
      </c>
    </row>
    <row r="34" spans="2:29" ht="22" customHeight="1">
      <c r="B34" s="5"/>
      <c r="H34" s="8"/>
      <c r="I34" s="8"/>
      <c r="K34" s="11"/>
      <c r="L34" s="11"/>
      <c r="M34" s="11"/>
      <c r="N34" s="11"/>
      <c r="O34" s="11"/>
      <c r="P34" s="11"/>
    </row>
    <row r="35" spans="2:29" ht="17">
      <c r="B35" s="12"/>
      <c r="C35" s="13"/>
      <c r="D35" s="14"/>
      <c r="E35" s="15"/>
      <c r="F35" s="15"/>
      <c r="G35" s="15"/>
      <c r="H35" s="15"/>
      <c r="I35" s="15"/>
    </row>
  </sheetData>
  <mergeCells count="34">
    <mergeCell ref="V33:X33"/>
    <mergeCell ref="B12:B13"/>
    <mergeCell ref="B14:B15"/>
    <mergeCell ref="B16:B17"/>
    <mergeCell ref="C6:C7"/>
    <mergeCell ref="AC2:AF2"/>
    <mergeCell ref="AA2:AB2"/>
    <mergeCell ref="B4:B5"/>
    <mergeCell ref="C4:C5"/>
    <mergeCell ref="B2:C2"/>
    <mergeCell ref="B8:B9"/>
    <mergeCell ref="B10:B11"/>
    <mergeCell ref="C18:C19"/>
    <mergeCell ref="C20:C21"/>
    <mergeCell ref="C14:C15"/>
    <mergeCell ref="C16:C17"/>
    <mergeCell ref="R2:S2"/>
    <mergeCell ref="D2:E2"/>
    <mergeCell ref="V32:X32"/>
    <mergeCell ref="V30:X30"/>
    <mergeCell ref="V31:X31"/>
    <mergeCell ref="V29:X29"/>
    <mergeCell ref="B6:B7"/>
    <mergeCell ref="C22:C23"/>
    <mergeCell ref="C24:C25"/>
    <mergeCell ref="C26:C27"/>
    <mergeCell ref="C8:C9"/>
    <mergeCell ref="C10:C11"/>
    <mergeCell ref="C12:C13"/>
    <mergeCell ref="B18:B19"/>
    <mergeCell ref="B20:B21"/>
    <mergeCell ref="B22:B23"/>
    <mergeCell ref="B24:B25"/>
    <mergeCell ref="B26:B27"/>
  </mergeCells>
  <phoneticPr fontId="3"/>
  <printOptions horizontalCentered="1" verticalCentered="1"/>
  <pageMargins left="0.75" right="0.75" top="0.75" bottom="0.75" header="0.5" footer="0.5"/>
  <pageSetup paperSize="9" scale="65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F5CF-3EEA-7947-BB76-522874FBA3A8}">
  <dimension ref="A1:S31"/>
  <sheetViews>
    <sheetView workbookViewId="0">
      <selection activeCell="K21" sqref="K21"/>
    </sheetView>
  </sheetViews>
  <sheetFormatPr baseColWidth="10" defaultColWidth="7.5703125" defaultRowHeight="18"/>
  <cols>
    <col min="1" max="16384" width="7.5703125" style="85"/>
  </cols>
  <sheetData>
    <row r="1" spans="1:19">
      <c r="A1" s="83" t="s">
        <v>85</v>
      </c>
      <c r="B1" s="83" t="s">
        <v>86</v>
      </c>
      <c r="C1" s="83" t="s">
        <v>87</v>
      </c>
      <c r="D1" s="83" t="s">
        <v>50</v>
      </c>
      <c r="E1" s="83" t="s">
        <v>27</v>
      </c>
      <c r="F1" s="83" t="s">
        <v>34</v>
      </c>
      <c r="G1" s="83" t="s">
        <v>36</v>
      </c>
      <c r="H1" s="83" t="s">
        <v>48</v>
      </c>
      <c r="I1" s="84" t="s">
        <v>88</v>
      </c>
      <c r="J1" s="84" t="s">
        <v>89</v>
      </c>
      <c r="K1" s="84" t="s">
        <v>90</v>
      </c>
      <c r="L1" s="84" t="s">
        <v>91</v>
      </c>
      <c r="M1" s="87" t="s">
        <v>92</v>
      </c>
      <c r="N1" s="90"/>
      <c r="O1" s="88"/>
      <c r="P1" s="88"/>
      <c r="Q1" s="88"/>
      <c r="R1" s="88"/>
      <c r="S1" s="89"/>
    </row>
    <row r="2" spans="1:19">
      <c r="A2" s="85">
        <v>1</v>
      </c>
      <c r="B2" s="85">
        <v>1</v>
      </c>
      <c r="C2" s="85" t="s">
        <v>52</v>
      </c>
      <c r="E2" s="85">
        <v>2</v>
      </c>
      <c r="F2" s="85">
        <v>2</v>
      </c>
      <c r="H2" s="85">
        <v>2</v>
      </c>
      <c r="N2" s="89"/>
      <c r="O2" s="89"/>
      <c r="P2" s="89"/>
      <c r="Q2" s="89"/>
      <c r="R2" s="89"/>
      <c r="S2" s="89"/>
    </row>
    <row r="3" spans="1:19">
      <c r="A3" s="85">
        <v>2</v>
      </c>
      <c r="B3" s="85">
        <v>1</v>
      </c>
      <c r="C3" s="85" t="s">
        <v>53</v>
      </c>
      <c r="E3" s="85">
        <v>5</v>
      </c>
      <c r="N3" s="89"/>
      <c r="O3" s="89"/>
      <c r="P3" s="89"/>
      <c r="Q3" s="89"/>
      <c r="R3" s="89"/>
      <c r="S3" s="89"/>
    </row>
    <row r="4" spans="1:19">
      <c r="A4" s="85">
        <v>3</v>
      </c>
      <c r="B4" s="85">
        <v>1</v>
      </c>
      <c r="C4" s="85" t="s">
        <v>54</v>
      </c>
      <c r="E4" s="85">
        <v>3</v>
      </c>
      <c r="F4" s="85">
        <v>3</v>
      </c>
    </row>
    <row r="5" spans="1:19">
      <c r="A5" s="85">
        <v>4</v>
      </c>
      <c r="B5" s="85">
        <v>1</v>
      </c>
      <c r="C5" s="85" t="s">
        <v>55</v>
      </c>
      <c r="D5" s="85">
        <v>2</v>
      </c>
      <c r="E5" s="85">
        <v>2</v>
      </c>
      <c r="F5" s="85">
        <v>2</v>
      </c>
    </row>
    <row r="6" spans="1:19">
      <c r="A6" s="85">
        <v>5</v>
      </c>
      <c r="B6" s="85">
        <v>1</v>
      </c>
      <c r="C6" s="85" t="s">
        <v>56</v>
      </c>
      <c r="D6" s="85">
        <v>2</v>
      </c>
      <c r="E6" s="85">
        <v>2</v>
      </c>
    </row>
    <row r="7" spans="1:19">
      <c r="A7" s="85">
        <v>6</v>
      </c>
      <c r="B7" s="85">
        <v>1</v>
      </c>
      <c r="C7" s="85" t="s">
        <v>57</v>
      </c>
      <c r="E7" s="85">
        <v>5</v>
      </c>
      <c r="F7" s="85">
        <v>5</v>
      </c>
    </row>
    <row r="8" spans="1:19">
      <c r="A8" s="85">
        <v>7</v>
      </c>
      <c r="B8" s="85">
        <v>1</v>
      </c>
      <c r="C8" s="85" t="s">
        <v>58</v>
      </c>
      <c r="D8" s="85">
        <v>3</v>
      </c>
      <c r="E8" s="85">
        <v>3</v>
      </c>
      <c r="F8" s="85">
        <v>3</v>
      </c>
    </row>
    <row r="9" spans="1:19">
      <c r="A9" s="85">
        <v>8</v>
      </c>
      <c r="B9" s="85">
        <v>1</v>
      </c>
      <c r="C9" s="85" t="s">
        <v>59</v>
      </c>
      <c r="E9" s="85">
        <v>3</v>
      </c>
      <c r="F9" s="85">
        <v>3</v>
      </c>
    </row>
    <row r="10" spans="1:19">
      <c r="A10" s="85">
        <v>9</v>
      </c>
      <c r="B10" s="85">
        <v>1</v>
      </c>
      <c r="C10" s="85" t="s">
        <v>60</v>
      </c>
      <c r="E10" s="85">
        <v>2</v>
      </c>
      <c r="F10" s="85">
        <v>2</v>
      </c>
      <c r="G10" s="85">
        <v>2</v>
      </c>
    </row>
    <row r="11" spans="1:19">
      <c r="A11" s="85">
        <v>10</v>
      </c>
      <c r="B11" s="85">
        <v>1</v>
      </c>
      <c r="C11" s="85" t="s">
        <v>61</v>
      </c>
      <c r="F11" s="85">
        <v>5</v>
      </c>
    </row>
    <row r="12" spans="1:19">
      <c r="A12" s="85">
        <v>11</v>
      </c>
      <c r="B12" s="85">
        <v>1</v>
      </c>
      <c r="C12" s="85" t="s">
        <v>62</v>
      </c>
      <c r="E12" s="85">
        <v>2</v>
      </c>
    </row>
    <row r="13" spans="1:19">
      <c r="A13" s="85">
        <v>12</v>
      </c>
      <c r="B13" s="85">
        <v>1</v>
      </c>
      <c r="C13" s="85" t="s">
        <v>63</v>
      </c>
      <c r="E13" s="85">
        <v>2</v>
      </c>
      <c r="F13" s="85">
        <v>2</v>
      </c>
    </row>
    <row r="14" spans="1:19">
      <c r="A14" s="85">
        <v>13</v>
      </c>
      <c r="B14" s="85">
        <v>1</v>
      </c>
      <c r="C14" s="85" t="s">
        <v>64</v>
      </c>
      <c r="E14" s="85">
        <v>2</v>
      </c>
      <c r="F14" s="85">
        <v>2</v>
      </c>
    </row>
    <row r="15" spans="1:19">
      <c r="A15" s="85">
        <v>14</v>
      </c>
      <c r="B15" s="85">
        <v>1</v>
      </c>
      <c r="C15" s="85" t="s">
        <v>65</v>
      </c>
      <c r="E15" s="85">
        <v>3</v>
      </c>
      <c r="F15" s="85">
        <v>2</v>
      </c>
    </row>
    <row r="16" spans="1:19">
      <c r="A16" s="85">
        <v>15</v>
      </c>
      <c r="B16" s="85">
        <v>1</v>
      </c>
      <c r="C16" s="85" t="s">
        <v>66</v>
      </c>
      <c r="G16" s="85">
        <v>2</v>
      </c>
      <c r="H16" s="85">
        <v>2</v>
      </c>
    </row>
    <row r="17" spans="1:10">
      <c r="A17" s="85">
        <v>16</v>
      </c>
      <c r="B17" s="85">
        <v>1</v>
      </c>
      <c r="C17" s="85" t="s">
        <v>67</v>
      </c>
      <c r="G17" s="85">
        <v>2</v>
      </c>
      <c r="H17" s="85">
        <v>2</v>
      </c>
    </row>
    <row r="18" spans="1:10">
      <c r="A18" s="85">
        <v>17</v>
      </c>
      <c r="B18" s="85">
        <v>2</v>
      </c>
      <c r="C18" s="85" t="s">
        <v>68</v>
      </c>
      <c r="D18" s="85">
        <v>3</v>
      </c>
      <c r="E18" s="85">
        <v>3</v>
      </c>
      <c r="F18" s="85">
        <v>3</v>
      </c>
      <c r="I18" s="85">
        <v>2</v>
      </c>
      <c r="J18" s="85">
        <v>2</v>
      </c>
    </row>
    <row r="19" spans="1:10">
      <c r="A19" s="85">
        <v>18</v>
      </c>
      <c r="B19" s="85">
        <v>2</v>
      </c>
      <c r="C19" s="85" t="s">
        <v>69</v>
      </c>
      <c r="D19" s="85">
        <v>3</v>
      </c>
      <c r="E19" s="85">
        <v>3</v>
      </c>
      <c r="F19" s="85">
        <v>3</v>
      </c>
    </row>
    <row r="20" spans="1:10">
      <c r="A20" s="85">
        <v>19</v>
      </c>
      <c r="B20" s="85">
        <v>2</v>
      </c>
      <c r="C20" s="85" t="s">
        <v>70</v>
      </c>
      <c r="D20" s="85">
        <v>3</v>
      </c>
      <c r="E20" s="85">
        <v>3</v>
      </c>
      <c r="F20" s="85">
        <v>3</v>
      </c>
      <c r="G20" s="85">
        <v>2</v>
      </c>
      <c r="H20" s="85">
        <v>2</v>
      </c>
    </row>
    <row r="21" spans="1:10">
      <c r="A21" s="85">
        <v>20</v>
      </c>
      <c r="B21" s="85">
        <v>2</v>
      </c>
      <c r="C21" s="85" t="s">
        <v>71</v>
      </c>
      <c r="D21" s="85">
        <v>3</v>
      </c>
      <c r="E21" s="85">
        <v>2</v>
      </c>
    </row>
    <row r="22" spans="1:10">
      <c r="A22" s="85">
        <v>21</v>
      </c>
      <c r="B22" s="85">
        <v>2</v>
      </c>
      <c r="C22" s="85" t="s">
        <v>72</v>
      </c>
      <c r="D22" s="85">
        <v>3</v>
      </c>
      <c r="E22" s="85">
        <v>3</v>
      </c>
      <c r="F22" s="85">
        <v>3</v>
      </c>
    </row>
    <row r="23" spans="1:10">
      <c r="A23" s="85">
        <v>22</v>
      </c>
      <c r="B23" s="85">
        <v>2</v>
      </c>
      <c r="C23" s="85" t="s">
        <v>73</v>
      </c>
      <c r="E23" s="85">
        <v>3</v>
      </c>
      <c r="F23" s="85">
        <v>3</v>
      </c>
      <c r="G23" s="85">
        <v>3</v>
      </c>
      <c r="H23" s="85">
        <v>3</v>
      </c>
    </row>
    <row r="24" spans="1:10">
      <c r="A24" s="85">
        <v>23</v>
      </c>
      <c r="B24" s="85">
        <v>2</v>
      </c>
      <c r="C24" s="85" t="s">
        <v>74</v>
      </c>
      <c r="E24" s="85">
        <v>2</v>
      </c>
      <c r="F24" s="85">
        <v>2</v>
      </c>
    </row>
    <row r="25" spans="1:10">
      <c r="A25" s="85">
        <v>24</v>
      </c>
      <c r="B25" s="85">
        <v>3</v>
      </c>
      <c r="C25" s="85" t="s">
        <v>75</v>
      </c>
      <c r="D25" s="85">
        <v>3</v>
      </c>
      <c r="E25" s="85">
        <v>3</v>
      </c>
      <c r="F25" s="85">
        <v>3</v>
      </c>
      <c r="G25" s="85">
        <v>3</v>
      </c>
      <c r="H25" s="85">
        <v>3</v>
      </c>
    </row>
    <row r="26" spans="1:10">
      <c r="A26" s="85">
        <v>25</v>
      </c>
      <c r="B26" s="85">
        <v>3</v>
      </c>
      <c r="C26" s="85" t="s">
        <v>76</v>
      </c>
      <c r="D26" s="85">
        <v>3</v>
      </c>
      <c r="E26" s="85">
        <v>3</v>
      </c>
      <c r="F26" s="85">
        <v>3</v>
      </c>
      <c r="G26" s="85">
        <v>3</v>
      </c>
      <c r="H26" s="85">
        <v>3</v>
      </c>
    </row>
    <row r="27" spans="1:10">
      <c r="A27" s="85">
        <v>26</v>
      </c>
      <c r="B27" s="85">
        <v>3</v>
      </c>
      <c r="C27" s="85" t="s">
        <v>77</v>
      </c>
      <c r="D27" s="85">
        <v>3</v>
      </c>
      <c r="E27" s="85">
        <v>3</v>
      </c>
      <c r="F27" s="85">
        <v>3</v>
      </c>
      <c r="G27" s="85">
        <v>3</v>
      </c>
      <c r="H27" s="85">
        <v>3</v>
      </c>
    </row>
    <row r="28" spans="1:10">
      <c r="A28" s="85">
        <v>27</v>
      </c>
      <c r="B28" s="85">
        <v>3</v>
      </c>
      <c r="C28" s="85" t="s">
        <v>78</v>
      </c>
      <c r="D28" s="85">
        <v>3</v>
      </c>
      <c r="E28" s="85">
        <v>3</v>
      </c>
      <c r="F28" s="85">
        <v>3</v>
      </c>
      <c r="G28" s="85">
        <v>3</v>
      </c>
      <c r="H28" s="85">
        <v>3</v>
      </c>
    </row>
    <row r="29" spans="1:10">
      <c r="A29" s="85">
        <v>28</v>
      </c>
      <c r="B29" s="85">
        <v>3</v>
      </c>
      <c r="C29" s="85" t="s">
        <v>79</v>
      </c>
      <c r="D29" s="85">
        <v>3</v>
      </c>
      <c r="E29" s="85">
        <v>3</v>
      </c>
      <c r="F29" s="85">
        <v>3</v>
      </c>
      <c r="G29" s="85">
        <v>3</v>
      </c>
      <c r="H29" s="85">
        <v>3</v>
      </c>
    </row>
    <row r="30" spans="1:10">
      <c r="A30" s="85">
        <v>29</v>
      </c>
      <c r="B30" s="85">
        <v>3</v>
      </c>
      <c r="C30" s="85" t="s">
        <v>80</v>
      </c>
      <c r="D30" s="85">
        <v>3</v>
      </c>
      <c r="E30" s="85">
        <v>3</v>
      </c>
      <c r="F30" s="85">
        <v>3</v>
      </c>
      <c r="G30" s="85">
        <v>3</v>
      </c>
      <c r="H30" s="85">
        <v>3</v>
      </c>
    </row>
    <row r="31" spans="1:10">
      <c r="A31" s="85">
        <v>30</v>
      </c>
      <c r="B31" s="85">
        <v>3</v>
      </c>
      <c r="C31" s="85" t="s">
        <v>51</v>
      </c>
      <c r="D31" s="85">
        <v>3</v>
      </c>
      <c r="E31" s="85">
        <v>3</v>
      </c>
      <c r="F31" s="85">
        <v>3</v>
      </c>
      <c r="G31" s="85">
        <v>3</v>
      </c>
      <c r="H31" s="85">
        <v>3</v>
      </c>
    </row>
  </sheetData>
  <phoneticPr fontId="3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実行ボタン</vt:lpstr>
      <vt:lpstr>生徒データ</vt:lpstr>
      <vt:lpstr>個別日程表</vt:lpstr>
      <vt:lpstr>生徒_受講コマ数_初回</vt:lpstr>
      <vt:lpstr>個別日程表!Print_Area</vt:lpstr>
      <vt:lpstr>実行ボタン!Print_Area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小澤修一郎</dc:creator>
  <cp:lastModifiedBy>小澤修一郎</cp:lastModifiedBy>
  <cp:lastPrinted>2023-09-03T08:36:18Z</cp:lastPrinted>
  <dcterms:created xsi:type="dcterms:W3CDTF">2023-08-18T04:51:13Z</dcterms:created>
  <dcterms:modified xsi:type="dcterms:W3CDTF">2023-09-03T08:38:36Z</dcterms:modified>
</cp:coreProperties>
</file>